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CARREGADO" sheetId="1" state="visible" r:id="rId1"/>
    <sheet xmlns:r="http://schemas.openxmlformats.org/officeDocument/2006/relationships" name="COPEIRA" sheetId="2" state="visible" r:id="rId2"/>
    <sheet xmlns:r="http://schemas.openxmlformats.org/officeDocument/2006/relationships" name="RECEPCIONISTA" sheetId="3" state="visible" r:id="rId3"/>
    <sheet xmlns:r="http://schemas.openxmlformats.org/officeDocument/2006/relationships" name="SECRETARIA" sheetId="4" state="visible" r:id="rId4"/>
    <sheet xmlns:r="http://schemas.openxmlformats.org/officeDocument/2006/relationships" name="GARCOM" sheetId="5" state="visible" r:id="rId5"/>
    <sheet xmlns:r="http://schemas.openxmlformats.org/officeDocument/2006/relationships" name="TELEFONISTA" sheetId="6" state="visible" r:id="rId6"/>
    <sheet xmlns:r="http://schemas.openxmlformats.org/officeDocument/2006/relationships" name="RESUMO" sheetId="7" state="visible" r:id="rId7"/>
    <sheet xmlns:r="http://schemas.openxmlformats.org/officeDocument/2006/relationships" name="BREAK-EVE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b val="1"/>
      <sz val="11"/>
    </font>
    <font>
      <name val="Arial"/>
      <color rgb="00555555"/>
      <sz val="10"/>
    </font>
    <font>
      <name val="Arial"/>
      <b val="1"/>
      <color rgb="00FF0000"/>
      <sz val="10"/>
    </font>
  </fonts>
  <fills count="7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D6E4F0"/>
        <bgColor rgb="00D6E4F0"/>
      </patternFill>
    </fill>
    <fill>
      <patternFill patternType="solid">
        <fgColor rgb="00FFFF00"/>
        <bgColor rgb="00FFFF00"/>
      </patternFill>
    </fill>
    <fill>
      <patternFill patternType="solid">
        <fgColor rgb="0092D050"/>
        <bgColor rgb="0092D050"/>
      </patternFill>
    </fill>
    <fill>
      <patternFill patternType="solid">
        <fgColor rgb="00FF6B6B"/>
        <bgColor rgb="00FF6B6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4" fontId="3" fillId="0" borderId="1" pivotButton="0" quotePrefix="0" xfId="0"/>
    <xf numFmtId="0" fontId="4" fillId="2" borderId="1" pivotButton="0" quotePrefix="0" xfId="0"/>
    <xf numFmtId="0" fontId="2" fillId="3" borderId="1" pivotButton="0" quotePrefix="0" xfId="0"/>
    <xf numFmtId="4" fontId="2" fillId="3" borderId="1" pivotButton="0" quotePrefix="0" xfId="0"/>
    <xf numFmtId="10" fontId="3" fillId="0" borderId="1" pivotButton="0" quotePrefix="0" xfId="0"/>
    <xf numFmtId="0" fontId="5" fillId="4" borderId="1" pivotButton="0" quotePrefix="0" xfId="0"/>
    <xf numFmtId="4" fontId="5" fillId="4" borderId="1" pivotButton="0" quotePrefix="0" xfId="0"/>
    <xf numFmtId="0" fontId="5" fillId="5" borderId="1" pivotButton="0" quotePrefix="0" xfId="0"/>
    <xf numFmtId="4" fontId="5" fillId="5" borderId="1" pivotButton="0" quotePrefix="0" xfId="0"/>
    <xf numFmtId="0" fontId="6" fillId="0" borderId="1" pivotButton="0" quotePrefix="0" xfId="0"/>
    <xf numFmtId="4" fontId="2" fillId="0" borderId="1" pivotButton="0" quotePrefix="0" xfId="0"/>
    <xf numFmtId="10" fontId="2" fillId="0" borderId="1" pivotButton="0" quotePrefix="0" xfId="0"/>
    <xf numFmtId="0" fontId="2" fillId="6" borderId="1" pivotButton="0" quotePrefix="0" xfId="0"/>
    <xf numFmtId="4" fontId="2" fillId="6" borderId="1" pivotButton="0" quotePrefix="0" xfId="0"/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workbookViewId="0">
      <selection activeCell="A1" sqref="A1"/>
    </sheetView>
  </sheetViews>
  <sheetFormatPr baseColWidth="8" defaultRowHeight="15"/>
  <cols>
    <col width="5" customWidth="1" min="1" max="1"/>
    <col width="52" customWidth="1" min="2" max="2"/>
    <col width="14" customWidth="1" min="3" max="3"/>
    <col width="18" customWidth="1" min="4" max="4"/>
  </cols>
  <sheetData>
    <row r="1">
      <c r="A1" s="1" t="inlineStr">
        <is>
          <t>PLANILHA DE CUSTOS E FORMAÇÃO DE PREÇOS - ENCARREGADO</t>
        </is>
      </c>
    </row>
    <row r="2">
      <c r="A2" s="2" t="inlineStr">
        <is>
          <t>CCT:</t>
        </is>
      </c>
      <c r="B2" s="3" t="inlineStr">
        <is>
          <t>SEAC-RJ x SIEMACO-RIO RJ001061/2025 (01/03/2025 a 28/02/2026)</t>
        </is>
      </c>
    </row>
    <row r="3">
      <c r="A3" s="2" t="inlineStr">
        <is>
          <t>Cargo:</t>
        </is>
      </c>
      <c r="B3" s="3" t="inlineStr">
        <is>
          <t>ENCARREGADO</t>
        </is>
      </c>
      <c r="C3" s="2" t="inlineStr">
        <is>
          <t>CBO:</t>
        </is>
      </c>
      <c r="D3" s="3" t="inlineStr">
        <is>
          <t>4101-05</t>
        </is>
      </c>
    </row>
    <row r="4">
      <c r="A4" s="2" t="inlineStr">
        <is>
          <t>Postos:</t>
        </is>
      </c>
      <c r="B4" s="3" t="n">
        <v>2</v>
      </c>
      <c r="C4" s="2" t="inlineStr">
        <is>
          <t>Jornada:</t>
        </is>
      </c>
      <c r="D4" s="3" t="inlineStr">
        <is>
          <t>44h/sem</t>
        </is>
      </c>
    </row>
    <row r="5">
      <c r="A5" s="2" t="inlineStr">
        <is>
          <t>Salário:</t>
        </is>
      </c>
      <c r="B5" s="4" t="n">
        <v>2161.45</v>
      </c>
    </row>
    <row r="7">
      <c r="A7" s="5" t="inlineStr">
        <is>
          <t>MÓDULO 1 - COMPOSIÇÃO DA REMUNERAÇÃO</t>
        </is>
      </c>
      <c r="B7" s="5" t="n"/>
      <c r="C7" s="5" t="n"/>
      <c r="D7" s="5" t="n"/>
    </row>
    <row r="8">
      <c r="A8" s="6" t="n"/>
      <c r="B8" s="6" t="inlineStr">
        <is>
          <t>Composição da Remuneração</t>
        </is>
      </c>
      <c r="C8" s="6" t="inlineStr">
        <is>
          <t>%</t>
        </is>
      </c>
      <c r="D8" s="6" t="inlineStr">
        <is>
          <t>Valor (R$)</t>
        </is>
      </c>
    </row>
    <row r="9">
      <c r="A9" s="3" t="inlineStr">
        <is>
          <t>A</t>
        </is>
      </c>
      <c r="B9" s="3" t="inlineStr">
        <is>
          <t>Salário Base</t>
        </is>
      </c>
      <c r="C9" s="3" t="n"/>
      <c r="D9" s="4" t="n">
        <v>2161.45</v>
      </c>
    </row>
    <row r="10">
      <c r="A10" s="3" t="inlineStr">
        <is>
          <t>B</t>
        </is>
      </c>
      <c r="B10" s="3" t="inlineStr">
        <is>
          <t>Adicional de periculosidade</t>
        </is>
      </c>
      <c r="C10" s="3" t="n"/>
      <c r="D10" s="4" t="n">
        <v>0</v>
      </c>
    </row>
    <row r="11">
      <c r="A11" s="3" t="inlineStr">
        <is>
          <t>C</t>
        </is>
      </c>
      <c r="B11" s="3" t="inlineStr">
        <is>
          <t>Adicional de insalubridade</t>
        </is>
      </c>
      <c r="C11" s="3" t="n"/>
      <c r="D11" s="4" t="n">
        <v>0</v>
      </c>
    </row>
    <row r="12">
      <c r="A12" s="3" t="inlineStr">
        <is>
          <t>D</t>
        </is>
      </c>
      <c r="B12" s="3" t="inlineStr">
        <is>
          <t>Adicional noturno</t>
        </is>
      </c>
      <c r="C12" s="3" t="n"/>
      <c r="D12" s="4" t="n">
        <v>0</v>
      </c>
    </row>
    <row r="13">
      <c r="A13" s="6" t="n"/>
      <c r="B13" s="6" t="inlineStr">
        <is>
          <t>TOTAL MÓDULO 1</t>
        </is>
      </c>
      <c r="C13" s="6" t="n"/>
      <c r="D13" s="7">
        <f>SUM(D9:D12)</f>
        <v/>
      </c>
    </row>
    <row r="15">
      <c r="A15" s="5" t="inlineStr">
        <is>
          <t>MÓDULO 2 - ENCARGOS E BENEFÍCIOS</t>
        </is>
      </c>
      <c r="B15" s="5" t="n"/>
      <c r="C15" s="5" t="n"/>
      <c r="D15" s="5" t="n"/>
    </row>
    <row r="16">
      <c r="A16" s="6" t="inlineStr">
        <is>
          <t>2.1</t>
        </is>
      </c>
      <c r="B16" s="6" t="inlineStr">
        <is>
          <t>13º Salário, Férias e Adicional</t>
        </is>
      </c>
      <c r="C16" s="6" t="inlineStr">
        <is>
          <t>%</t>
        </is>
      </c>
      <c r="D16" s="6" t="inlineStr">
        <is>
          <t>Valor (R$)</t>
        </is>
      </c>
    </row>
    <row r="17">
      <c r="A17" s="3" t="inlineStr">
        <is>
          <t>A</t>
        </is>
      </c>
      <c r="B17" s="3" t="inlineStr">
        <is>
          <t>13º Salário (1/12)</t>
        </is>
      </c>
      <c r="C17" s="8" t="n">
        <v>0.08333333333333333</v>
      </c>
      <c r="D17" s="4" t="n">
        <v>180.1208333333333</v>
      </c>
    </row>
    <row r="18">
      <c r="A18" s="3" t="inlineStr">
        <is>
          <t>B</t>
        </is>
      </c>
      <c r="B18" s="3" t="inlineStr">
        <is>
          <t>Férias + 1/3 (1/12 x 4/3)</t>
        </is>
      </c>
      <c r="C18" s="8" t="n">
        <v>0.1111111111111111</v>
      </c>
      <c r="D18" s="4" t="n">
        <v>240.1611111111111</v>
      </c>
    </row>
    <row r="19">
      <c r="A19" s="6" t="n"/>
      <c r="B19" s="6" t="inlineStr">
        <is>
          <t>Total 2.1</t>
        </is>
      </c>
      <c r="C19" s="6" t="n"/>
      <c r="D19" s="7">
        <f>SUM(D17:D18)</f>
        <v/>
      </c>
    </row>
    <row r="21">
      <c r="A21" s="6" t="inlineStr">
        <is>
          <t>2.2</t>
        </is>
      </c>
      <c r="B21" s="6" t="inlineStr">
        <is>
          <t>GPS, FGTS e Outras Contribuições</t>
        </is>
      </c>
      <c r="C21" s="6" t="inlineStr">
        <is>
          <t>%</t>
        </is>
      </c>
      <c r="D21" s="6" t="inlineStr">
        <is>
          <t>Valor (R$)</t>
        </is>
      </c>
    </row>
    <row r="22">
      <c r="A22" s="3" t="inlineStr">
        <is>
          <t>A</t>
        </is>
      </c>
      <c r="B22" s="3" t="inlineStr">
        <is>
          <t>INSS</t>
        </is>
      </c>
      <c r="C22" s="8" t="n">
        <v>0.2</v>
      </c>
      <c r="D22" s="4" t="n">
        <v>516.3463888888889</v>
      </c>
    </row>
    <row r="23">
      <c r="A23" s="3" t="inlineStr">
        <is>
          <t>B</t>
        </is>
      </c>
      <c r="B23" s="3" t="inlineStr">
        <is>
          <t>Sal. Educação</t>
        </is>
      </c>
      <c r="C23" s="8" t="n">
        <v>0.025</v>
      </c>
      <c r="D23" s="4" t="n">
        <v>64.54329861111111</v>
      </c>
    </row>
    <row r="24">
      <c r="A24" s="3" t="inlineStr">
        <is>
          <t>C</t>
        </is>
      </c>
      <c r="B24" s="3" t="inlineStr">
        <is>
          <t>SAT/RAT</t>
        </is>
      </c>
      <c r="C24" s="8" t="n">
        <v>0.02</v>
      </c>
      <c r="D24" s="4" t="n">
        <v>51.63463888888889</v>
      </c>
    </row>
    <row r="25">
      <c r="A25" s="3" t="inlineStr">
        <is>
          <t>D</t>
        </is>
      </c>
      <c r="B25" s="3" t="inlineStr">
        <is>
          <t>SESC</t>
        </is>
      </c>
      <c r="C25" s="8" t="n">
        <v>0.015</v>
      </c>
      <c r="D25" s="4" t="n">
        <v>38.72597916666666</v>
      </c>
    </row>
    <row r="26">
      <c r="A26" s="3" t="inlineStr">
        <is>
          <t>E</t>
        </is>
      </c>
      <c r="B26" s="3" t="inlineStr">
        <is>
          <t>SENAC</t>
        </is>
      </c>
      <c r="C26" s="8" t="n">
        <v>0.01</v>
      </c>
      <c r="D26" s="4" t="n">
        <v>25.81731944444444</v>
      </c>
    </row>
    <row r="27">
      <c r="A27" s="3" t="inlineStr">
        <is>
          <t>F</t>
        </is>
      </c>
      <c r="B27" s="3" t="inlineStr">
        <is>
          <t>SEBRAE</t>
        </is>
      </c>
      <c r="C27" s="8" t="n">
        <v>0.006</v>
      </c>
      <c r="D27" s="4" t="n">
        <v>15.49039166666667</v>
      </c>
    </row>
    <row r="28">
      <c r="A28" s="3" t="inlineStr">
        <is>
          <t>G</t>
        </is>
      </c>
      <c r="B28" s="3" t="inlineStr">
        <is>
          <t>INCRA</t>
        </is>
      </c>
      <c r="C28" s="8" t="n">
        <v>0.002</v>
      </c>
      <c r="D28" s="4" t="n">
        <v>5.163463888888889</v>
      </c>
    </row>
    <row r="29">
      <c r="A29" s="3" t="inlineStr">
        <is>
          <t>H</t>
        </is>
      </c>
      <c r="B29" s="3" t="inlineStr">
        <is>
          <t>FGTS</t>
        </is>
      </c>
      <c r="C29" s="8" t="n">
        <v>0.08</v>
      </c>
      <c r="D29" s="4" t="n">
        <v>206.5385555555555</v>
      </c>
    </row>
    <row r="30">
      <c r="A30" s="6" t="n"/>
      <c r="B30" s="6" t="inlineStr">
        <is>
          <t>Total 2.2</t>
        </is>
      </c>
      <c r="C30" s="6" t="n"/>
      <c r="D30" s="7">
        <f>SUM(D22:D29)</f>
        <v/>
      </c>
    </row>
    <row r="32">
      <c r="A32" s="6" t="inlineStr">
        <is>
          <t>2.3</t>
        </is>
      </c>
      <c r="B32" s="6" t="inlineStr">
        <is>
          <t>Benefícios Mensais e Diários</t>
        </is>
      </c>
      <c r="C32" s="6" t="n"/>
      <c r="D32" s="6" t="inlineStr">
        <is>
          <t>Valor (R$)</t>
        </is>
      </c>
    </row>
    <row r="33">
      <c r="A33" s="3" t="inlineStr">
        <is>
          <t>A</t>
        </is>
      </c>
      <c r="B33" s="3" t="inlineStr">
        <is>
          <t>Vale-Transporte (R$4.7x2x22 - 6%)</t>
        </is>
      </c>
      <c r="C33" s="3" t="n"/>
      <c r="D33" s="4" t="n">
        <v>77.11300000000003</v>
      </c>
    </row>
    <row r="34">
      <c r="A34" s="3" t="inlineStr">
        <is>
          <t>B</t>
        </is>
      </c>
      <c r="B34" s="3" t="inlineStr">
        <is>
          <t>Auxílio-Alimentação (R$25x22 - 10%)</t>
        </is>
      </c>
      <c r="C34" s="3" t="n"/>
      <c r="D34" s="4" t="n">
        <v>495</v>
      </c>
    </row>
    <row r="35">
      <c r="A35" s="6" t="n"/>
      <c r="B35" s="6" t="inlineStr">
        <is>
          <t>Total 2.3</t>
        </is>
      </c>
      <c r="C35" s="6" t="n"/>
      <c r="D35" s="7">
        <f>SUM(D33:D34)</f>
        <v/>
      </c>
    </row>
    <row r="37">
      <c r="A37" s="6" t="n"/>
      <c r="B37" s="6" t="inlineStr">
        <is>
          <t>TOTAL MÓDULO 2</t>
        </is>
      </c>
      <c r="C37" s="6" t="n"/>
      <c r="D37" s="7">
        <f>D19+D30+D35</f>
        <v/>
      </c>
    </row>
    <row r="39">
      <c r="A39" s="5" t="inlineStr">
        <is>
          <t>MÓDULO 3 - PROVISÃO PARA RESCISÃO</t>
        </is>
      </c>
      <c r="B39" s="5" t="n"/>
      <c r="C39" s="5" t="n"/>
      <c r="D39" s="5" t="n"/>
    </row>
    <row r="40">
      <c r="A40" s="6" t="inlineStr">
        <is>
          <t>3</t>
        </is>
      </c>
      <c r="B40" s="6" t="inlineStr">
        <is>
          <t>Provisão para Rescisão</t>
        </is>
      </c>
      <c r="C40" s="6" t="n"/>
      <c r="D40" s="6" t="inlineStr">
        <is>
          <t>Valor (R$)</t>
        </is>
      </c>
    </row>
    <row r="41">
      <c r="A41" s="3" t="inlineStr">
        <is>
          <t>A</t>
        </is>
      </c>
      <c r="B41" s="3" t="inlineStr">
        <is>
          <t>Aviso prévio indenizado</t>
        </is>
      </c>
      <c r="C41" s="3" t="n"/>
      <c r="D41" s="4" t="n">
        <v>41.93213</v>
      </c>
    </row>
    <row r="42">
      <c r="A42" s="3" t="inlineStr">
        <is>
          <t>B</t>
        </is>
      </c>
      <c r="B42" s="3" t="inlineStr">
        <is>
          <t>Incid. FGTS s/ API</t>
        </is>
      </c>
      <c r="C42" s="3" t="n"/>
      <c r="D42" s="4" t="n">
        <v>3.3545704</v>
      </c>
    </row>
    <row r="43">
      <c r="A43" s="3" t="inlineStr">
        <is>
          <t>C</t>
        </is>
      </c>
      <c r="B43" s="3" t="inlineStr">
        <is>
          <t>Multa FGTS API</t>
        </is>
      </c>
      <c r="C43" s="3" t="n"/>
      <c r="D43" s="4" t="n">
        <v>1.602739191111111</v>
      </c>
    </row>
    <row r="44">
      <c r="A44" s="3" t="inlineStr">
        <is>
          <t>D</t>
        </is>
      </c>
      <c r="B44" s="3" t="inlineStr">
        <is>
          <t>Aviso prévio trabalhado</t>
        </is>
      </c>
      <c r="C44" s="3" t="n"/>
      <c r="D44" s="4" t="n">
        <v>9.784163666666666</v>
      </c>
    </row>
    <row r="45">
      <c r="A45" s="3" t="inlineStr">
        <is>
          <t>E</t>
        </is>
      </c>
      <c r="B45" s="3" t="inlineStr">
        <is>
          <t>Incid. Submód 2.2 s/ APT</t>
        </is>
      </c>
      <c r="C45" s="3" t="n"/>
      <c r="D45" s="4" t="n">
        <v>3.502730592666667</v>
      </c>
    </row>
    <row r="46">
      <c r="A46" s="3" t="inlineStr">
        <is>
          <t>F</t>
        </is>
      </c>
      <c r="B46" s="3" t="inlineStr">
        <is>
          <t>Multa FGTS APT</t>
        </is>
      </c>
      <c r="C46" s="3" t="n"/>
      <c r="D46" s="4" t="n">
        <v>1.602739191111111</v>
      </c>
    </row>
    <row r="47">
      <c r="A47" s="6" t="n"/>
      <c r="B47" s="6" t="inlineStr">
        <is>
          <t>TOTAL MÓDULO 3</t>
        </is>
      </c>
      <c r="C47" s="6" t="n"/>
      <c r="D47" s="7">
        <f>SUM(D41:D46)</f>
        <v/>
      </c>
    </row>
    <row r="49">
      <c r="A49" s="5" t="inlineStr">
        <is>
          <t>MÓDULO 4 - CUSTO DE REPOSIÇÃO DO PROFISSIONAL AUSENTE</t>
        </is>
      </c>
      <c r="B49" s="5" t="n"/>
      <c r="C49" s="5" t="n"/>
      <c r="D49" s="5" t="n"/>
    </row>
    <row r="50">
      <c r="A50" s="6" t="inlineStr">
        <is>
          <t>4.1</t>
        </is>
      </c>
      <c r="B50" s="6" t="inlineStr">
        <is>
          <t>Ausências Legais</t>
        </is>
      </c>
      <c r="C50" s="6" t="n"/>
      <c r="D50" s="6" t="inlineStr">
        <is>
          <t>Valor (R$)</t>
        </is>
      </c>
    </row>
    <row r="51">
      <c r="A51" s="3" t="inlineStr">
        <is>
          <t>A</t>
        </is>
      </c>
      <c r="B51" s="3" t="inlineStr">
        <is>
          <t>Férias (substituto)</t>
        </is>
      </c>
      <c r="C51" s="3" t="n"/>
      <c r="D51" s="4" t="n">
        <v>180.1208333333333</v>
      </c>
    </row>
    <row r="52">
      <c r="A52" s="3" t="inlineStr">
        <is>
          <t>B</t>
        </is>
      </c>
      <c r="B52" s="3" t="inlineStr">
        <is>
          <t>Ausências legais</t>
        </is>
      </c>
      <c r="C52" s="3" t="n"/>
      <c r="D52" s="4" t="n">
        <v>17.76534246575342</v>
      </c>
    </row>
    <row r="53">
      <c r="A53" s="3" t="inlineStr">
        <is>
          <t>C</t>
        </is>
      </c>
      <c r="B53" s="3" t="inlineStr">
        <is>
          <t>Licença-paternidade</t>
        </is>
      </c>
      <c r="C53" s="3" t="n"/>
      <c r="D53" s="4" t="n">
        <v>0.5921780821917808</v>
      </c>
    </row>
    <row r="54">
      <c r="A54" s="3" t="inlineStr">
        <is>
          <t>D</t>
        </is>
      </c>
      <c r="B54" s="3" t="inlineStr">
        <is>
          <t>Afastamento maternidade</t>
        </is>
      </c>
      <c r="C54" s="3" t="n"/>
      <c r="D54" s="4" t="n">
        <v>14.21227397260274</v>
      </c>
    </row>
    <row r="55">
      <c r="A55" s="6" t="n"/>
      <c r="B55" s="6" t="inlineStr">
        <is>
          <t>Total 4.1</t>
        </is>
      </c>
      <c r="C55" s="6" t="n"/>
      <c r="D55" s="7">
        <f>SUM(D51:D54)</f>
        <v/>
      </c>
    </row>
    <row r="56">
      <c r="A56" s="3" t="inlineStr">
        <is>
          <t>4.2</t>
        </is>
      </c>
      <c r="B56" s="3" t="inlineStr">
        <is>
          <t>Intrajornada</t>
        </is>
      </c>
      <c r="C56" s="3" t="n"/>
      <c r="D56" s="4" t="n">
        <v>0</v>
      </c>
    </row>
    <row r="57">
      <c r="A57" s="6" t="n"/>
      <c r="B57" s="6" t="inlineStr">
        <is>
          <t>TOTAL MÓDULO 4</t>
        </is>
      </c>
      <c r="C57" s="6" t="n"/>
      <c r="D57" s="7">
        <f>D55+D56</f>
        <v/>
      </c>
    </row>
    <row r="59">
      <c r="A59" s="5" t="inlineStr">
        <is>
          <t>MÓDULO 5 - INSUMOS DIVERSOS</t>
        </is>
      </c>
      <c r="B59" s="5" t="n"/>
      <c r="C59" s="5" t="n"/>
      <c r="D59" s="5" t="n"/>
    </row>
    <row r="60">
      <c r="A60" s="6" t="inlineStr">
        <is>
          <t>5</t>
        </is>
      </c>
      <c r="B60" s="6" t="inlineStr">
        <is>
          <t>Insumos Diversos</t>
        </is>
      </c>
      <c r="C60" s="6" t="n"/>
      <c r="D60" s="6" t="inlineStr">
        <is>
          <t>Valor (R$)</t>
        </is>
      </c>
    </row>
    <row r="61">
      <c r="A61" s="3" t="inlineStr">
        <is>
          <t>A</t>
        </is>
      </c>
      <c r="B61" s="3" t="inlineStr">
        <is>
          <t>Uniformes (mensal)</t>
        </is>
      </c>
      <c r="C61" s="3" t="n"/>
      <c r="D61" s="4" t="n">
        <v>95</v>
      </c>
    </row>
    <row r="62">
      <c r="A62" s="3" t="inlineStr">
        <is>
          <t>B</t>
        </is>
      </c>
      <c r="B62" s="3" t="inlineStr">
        <is>
          <t>Materiais</t>
        </is>
      </c>
      <c r="C62" s="3" t="n"/>
      <c r="D62" s="4" t="n">
        <v>0</v>
      </c>
    </row>
    <row r="63">
      <c r="A63" s="3" t="inlineStr">
        <is>
          <t>C</t>
        </is>
      </c>
      <c r="B63" s="3" t="inlineStr">
        <is>
          <t>Equipamentos</t>
        </is>
      </c>
      <c r="C63" s="3" t="n"/>
      <c r="D63" s="4" t="n">
        <v>0</v>
      </c>
    </row>
    <row r="64">
      <c r="A64" s="6" t="n"/>
      <c r="B64" s="6" t="inlineStr">
        <is>
          <t>TOTAL MÓDULO 5</t>
        </is>
      </c>
      <c r="C64" s="6" t="n"/>
      <c r="D64" s="7">
        <f>SUM(D61:D63)</f>
        <v/>
      </c>
    </row>
    <row r="66">
      <c r="A66" s="5" t="inlineStr">
        <is>
          <t>MÓDULO 6 - CUSTOS INDIRETOS, TRIBUTOS E LUCRO</t>
        </is>
      </c>
      <c r="B66" s="5" t="n"/>
      <c r="C66" s="5" t="n"/>
      <c r="D66" s="5" t="n"/>
    </row>
    <row r="67">
      <c r="A67" s="6" t="inlineStr">
        <is>
          <t>6</t>
        </is>
      </c>
      <c r="B67" s="6" t="inlineStr">
        <is>
          <t>Custos Indiretos, Tributos e Lucro</t>
        </is>
      </c>
      <c r="C67" s="6" t="inlineStr">
        <is>
          <t>%</t>
        </is>
      </c>
      <c r="D67" s="6" t="inlineStr">
        <is>
          <t>Valor (R$)</t>
        </is>
      </c>
    </row>
    <row r="68">
      <c r="A68" s="3" t="inlineStr">
        <is>
          <t>A</t>
        </is>
      </c>
      <c r="B68" s="3" t="inlineStr">
        <is>
          <t>Custos Indiretos</t>
        </is>
      </c>
      <c r="C68" s="8" t="n">
        <v>0.03</v>
      </c>
      <c r="D68" s="4" t="n">
        <v>133.4272404435298</v>
      </c>
    </row>
    <row r="69">
      <c r="A69" s="3" t="inlineStr">
        <is>
          <t>B</t>
        </is>
      </c>
      <c r="B69" s="3" t="inlineStr">
        <is>
          <t>Lucro</t>
        </is>
      </c>
      <c r="C69" s="8" t="n">
        <v>0.03</v>
      </c>
      <c r="D69" s="4" t="n">
        <v>133.4272404435298</v>
      </c>
    </row>
    <row r="70">
      <c r="A70" s="3" t="inlineStr">
        <is>
          <t>C</t>
        </is>
      </c>
      <c r="B70" s="3" t="inlineStr">
        <is>
          <t>Tributos</t>
        </is>
      </c>
    </row>
    <row r="71">
      <c r="A71" s="3" t="n"/>
      <c r="B71" s="3" t="inlineStr">
        <is>
          <t xml:space="preserve">  C.1 PIS</t>
        </is>
      </c>
      <c r="C71" s="8" t="n">
        <v>0.0005</v>
      </c>
      <c r="D71" s="4" t="n">
        <v>2.513021941544804</v>
      </c>
    </row>
    <row r="72">
      <c r="A72" s="3" t="n"/>
      <c r="B72" s="3" t="inlineStr">
        <is>
          <t xml:space="preserve">  C.2 COFINS</t>
        </is>
      </c>
      <c r="C72" s="8" t="n">
        <v>0.0415</v>
      </c>
      <c r="D72" s="4" t="n">
        <v>208.5808211482187</v>
      </c>
    </row>
    <row r="73">
      <c r="A73" s="3" t="n"/>
      <c r="B73" s="3" t="inlineStr">
        <is>
          <t xml:space="preserve">  C.3 ISS</t>
        </is>
      </c>
      <c r="C73" s="8" t="n">
        <v>0.02</v>
      </c>
      <c r="D73" s="4" t="n">
        <v>100.5208776617922</v>
      </c>
    </row>
    <row r="74">
      <c r="A74" s="6" t="n"/>
      <c r="B74" s="6" t="inlineStr">
        <is>
          <t>TOTAL MÓDULO 6</t>
        </is>
      </c>
      <c r="C74" s="6" t="n"/>
      <c r="D74" s="7">
        <f>D68+D69+D71+D72+D73</f>
        <v/>
      </c>
    </row>
    <row r="76">
      <c r="A76" s="5" t="inlineStr">
        <is>
          <t>QUADRO-RESUMO DO CUSTO POR EMPREGADO</t>
        </is>
      </c>
      <c r="B76" s="5" t="n"/>
      <c r="C76" s="5" t="n"/>
      <c r="D76" s="5" t="n"/>
    </row>
    <row r="77">
      <c r="A77" s="3" t="inlineStr">
        <is>
          <t>A</t>
        </is>
      </c>
      <c r="B77" s="3" t="inlineStr">
        <is>
          <t>Módulo 1 - Composição da Remuneração</t>
        </is>
      </c>
      <c r="C77" s="3" t="n"/>
      <c r="D77" s="4" t="n">
        <v>2161.45</v>
      </c>
    </row>
    <row r="78">
      <c r="A78" s="3" t="inlineStr">
        <is>
          <t>B</t>
        </is>
      </c>
      <c r="B78" s="3" t="inlineStr">
        <is>
          <t>Módulo 2 - Encargos e Benefícios</t>
        </is>
      </c>
      <c r="C78" s="3" t="n"/>
      <c r="D78" s="4" t="n">
        <v>1916.654980555556</v>
      </c>
    </row>
    <row r="79">
      <c r="A79" s="3" t="inlineStr">
        <is>
          <t>C</t>
        </is>
      </c>
      <c r="B79" s="3" t="inlineStr">
        <is>
          <t>Módulo 3 - Provisão para Rescisão</t>
        </is>
      </c>
      <c r="C79" s="3" t="n"/>
      <c r="D79" s="4" t="n">
        <v>61.77907304155556</v>
      </c>
    </row>
    <row r="80">
      <c r="A80" s="3" t="inlineStr">
        <is>
          <t>D</t>
        </is>
      </c>
      <c r="B80" s="3" t="inlineStr">
        <is>
          <t>Módulo 4 - Custo de Reposição</t>
        </is>
      </c>
      <c r="C80" s="3" t="n"/>
      <c r="D80" s="4" t="n">
        <v>212.6906278538813</v>
      </c>
    </row>
    <row r="81">
      <c r="A81" s="3" t="inlineStr">
        <is>
          <t>E</t>
        </is>
      </c>
      <c r="B81" s="3" t="inlineStr">
        <is>
          <t>Módulo 5 - Insumos Diversos</t>
        </is>
      </c>
      <c r="C81" s="3" t="n"/>
      <c r="D81" s="4" t="n">
        <v>95</v>
      </c>
    </row>
    <row r="82">
      <c r="A82" s="9" t="n"/>
      <c r="B82" s="9" t="inlineStr">
        <is>
          <t>SUBTOTAL (A+B+C+D+E)</t>
        </is>
      </c>
      <c r="C82" s="9" t="n"/>
      <c r="D82" s="10" t="n">
        <v>4447.574681450992</v>
      </c>
    </row>
    <row r="83">
      <c r="A83" s="3" t="inlineStr">
        <is>
          <t>F</t>
        </is>
      </c>
      <c r="B83" s="3" t="inlineStr">
        <is>
          <t>Módulo 6 - CI, Tributos e Lucro</t>
        </is>
      </c>
      <c r="C83" s="3" t="n"/>
      <c r="D83" s="4" t="n">
        <v>578.4692016386155</v>
      </c>
    </row>
    <row r="84">
      <c r="A84" s="11" t="n"/>
      <c r="B84" s="11" t="inlineStr">
        <is>
          <t>VALOR MENSAL POR EMPREGADO</t>
        </is>
      </c>
      <c r="C84" s="11" t="n"/>
      <c r="D84" s="12" t="n">
        <v>5026.043883089607</v>
      </c>
    </row>
    <row r="85">
      <c r="A85" s="6" t="n"/>
      <c r="B85" s="6" t="inlineStr">
        <is>
          <t>VALOR MENSAL (2 postos)</t>
        </is>
      </c>
      <c r="C85" s="6" t="n"/>
      <c r="D85" s="7" t="n">
        <v>10052.08776617921</v>
      </c>
    </row>
    <row r="86">
      <c r="A86" s="6" t="n"/>
      <c r="B86" s="6" t="inlineStr">
        <is>
          <t>VALOR ANUAL (2 postos x 12)</t>
        </is>
      </c>
      <c r="C86" s="6" t="n"/>
      <c r="D86" s="7" t="n">
        <v>120625.0531941506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6"/>
  <sheetViews>
    <sheetView workbookViewId="0">
      <selection activeCell="A1" sqref="A1"/>
    </sheetView>
  </sheetViews>
  <sheetFormatPr baseColWidth="8" defaultRowHeight="15"/>
  <cols>
    <col width="5" customWidth="1" min="1" max="1"/>
    <col width="52" customWidth="1" min="2" max="2"/>
    <col width="14" customWidth="1" min="3" max="3"/>
    <col width="18" customWidth="1" min="4" max="4"/>
  </cols>
  <sheetData>
    <row r="1">
      <c r="A1" s="1" t="inlineStr">
        <is>
          <t>PLANILHA DE CUSTOS E FORMAÇÃO DE PREÇOS - COPEIRA</t>
        </is>
      </c>
    </row>
    <row r="2">
      <c r="A2" s="2" t="inlineStr">
        <is>
          <t>CCT:</t>
        </is>
      </c>
      <c r="B2" s="3" t="inlineStr">
        <is>
          <t>SEAC-RJ x SIEMACO-RIO RJ001061/2025 (01/03/2025 a 28/02/2026)</t>
        </is>
      </c>
    </row>
    <row r="3">
      <c r="A3" s="2" t="inlineStr">
        <is>
          <t>Cargo:</t>
        </is>
      </c>
      <c r="B3" s="3" t="inlineStr">
        <is>
          <t>COPEIRA</t>
        </is>
      </c>
      <c r="C3" s="2" t="inlineStr">
        <is>
          <t>CBO:</t>
        </is>
      </c>
      <c r="D3" s="3" t="inlineStr">
        <is>
          <t>5134-25</t>
        </is>
      </c>
    </row>
    <row r="4">
      <c r="A4" s="2" t="inlineStr">
        <is>
          <t>Postos:</t>
        </is>
      </c>
      <c r="B4" s="3" t="n">
        <v>12</v>
      </c>
      <c r="C4" s="2" t="inlineStr">
        <is>
          <t>Jornada:</t>
        </is>
      </c>
      <c r="D4" s="3" t="inlineStr">
        <is>
          <t>44h/sem</t>
        </is>
      </c>
    </row>
    <row r="5">
      <c r="A5" s="2" t="inlineStr">
        <is>
          <t>Salário:</t>
        </is>
      </c>
      <c r="B5" s="4" t="n">
        <v>1730.75</v>
      </c>
    </row>
    <row r="7">
      <c r="A7" s="5" t="inlineStr">
        <is>
          <t>MÓDULO 1 - COMPOSIÇÃO DA REMUNERAÇÃO</t>
        </is>
      </c>
      <c r="B7" s="5" t="n"/>
      <c r="C7" s="5" t="n"/>
      <c r="D7" s="5" t="n"/>
    </row>
    <row r="8">
      <c r="A8" s="6" t="n"/>
      <c r="B8" s="6" t="inlineStr">
        <is>
          <t>Composição da Remuneração</t>
        </is>
      </c>
      <c r="C8" s="6" t="inlineStr">
        <is>
          <t>%</t>
        </is>
      </c>
      <c r="D8" s="6" t="inlineStr">
        <is>
          <t>Valor (R$)</t>
        </is>
      </c>
    </row>
    <row r="9">
      <c r="A9" s="3" t="inlineStr">
        <is>
          <t>A</t>
        </is>
      </c>
      <c r="B9" s="3" t="inlineStr">
        <is>
          <t>Salário Base</t>
        </is>
      </c>
      <c r="C9" s="3" t="n"/>
      <c r="D9" s="4" t="n">
        <v>1730.75</v>
      </c>
    </row>
    <row r="10">
      <c r="A10" s="3" t="inlineStr">
        <is>
          <t>B</t>
        </is>
      </c>
      <c r="B10" s="3" t="inlineStr">
        <is>
          <t>Adicional de periculosidade</t>
        </is>
      </c>
      <c r="C10" s="3" t="n"/>
      <c r="D10" s="4" t="n">
        <v>0</v>
      </c>
    </row>
    <row r="11">
      <c r="A11" s="3" t="inlineStr">
        <is>
          <t>C</t>
        </is>
      </c>
      <c r="B11" s="3" t="inlineStr">
        <is>
          <t>Adicional de insalubridade</t>
        </is>
      </c>
      <c r="C11" s="3" t="n"/>
      <c r="D11" s="4" t="n">
        <v>0</v>
      </c>
    </row>
    <row r="12">
      <c r="A12" s="3" t="inlineStr">
        <is>
          <t>D</t>
        </is>
      </c>
      <c r="B12" s="3" t="inlineStr">
        <is>
          <t>Adicional noturno</t>
        </is>
      </c>
      <c r="C12" s="3" t="n"/>
      <c r="D12" s="4" t="n">
        <v>0</v>
      </c>
    </row>
    <row r="13">
      <c r="A13" s="6" t="n"/>
      <c r="B13" s="6" t="inlineStr">
        <is>
          <t>TOTAL MÓDULO 1</t>
        </is>
      </c>
      <c r="C13" s="6" t="n"/>
      <c r="D13" s="7">
        <f>SUM(D9:D12)</f>
        <v/>
      </c>
    </row>
    <row r="15">
      <c r="A15" s="5" t="inlineStr">
        <is>
          <t>MÓDULO 2 - ENCARGOS E BENEFÍCIOS</t>
        </is>
      </c>
      <c r="B15" s="5" t="n"/>
      <c r="C15" s="5" t="n"/>
      <c r="D15" s="5" t="n"/>
    </row>
    <row r="16">
      <c r="A16" s="6" t="inlineStr">
        <is>
          <t>2.1</t>
        </is>
      </c>
      <c r="B16" s="6" t="inlineStr">
        <is>
          <t>13º Salário, Férias e Adicional</t>
        </is>
      </c>
      <c r="C16" s="6" t="inlineStr">
        <is>
          <t>%</t>
        </is>
      </c>
      <c r="D16" s="6" t="inlineStr">
        <is>
          <t>Valor (R$)</t>
        </is>
      </c>
    </row>
    <row r="17">
      <c r="A17" s="3" t="inlineStr">
        <is>
          <t>A</t>
        </is>
      </c>
      <c r="B17" s="3" t="inlineStr">
        <is>
          <t>13º Salário (1/12)</t>
        </is>
      </c>
      <c r="C17" s="8" t="n">
        <v>0.08333333333333333</v>
      </c>
      <c r="D17" s="4" t="n">
        <v>144.2291666666667</v>
      </c>
    </row>
    <row r="18">
      <c r="A18" s="3" t="inlineStr">
        <is>
          <t>B</t>
        </is>
      </c>
      <c r="B18" s="3" t="inlineStr">
        <is>
          <t>Férias + 1/3 (1/12 x 4/3)</t>
        </is>
      </c>
      <c r="C18" s="8" t="n">
        <v>0.1111111111111111</v>
      </c>
      <c r="D18" s="4" t="n">
        <v>192.3055555555555</v>
      </c>
    </row>
    <row r="19">
      <c r="A19" s="6" t="n"/>
      <c r="B19" s="6" t="inlineStr">
        <is>
          <t>Total 2.1</t>
        </is>
      </c>
      <c r="C19" s="6" t="n"/>
      <c r="D19" s="7">
        <f>SUM(D17:D18)</f>
        <v/>
      </c>
    </row>
    <row r="21">
      <c r="A21" s="6" t="inlineStr">
        <is>
          <t>2.2</t>
        </is>
      </c>
      <c r="B21" s="6" t="inlineStr">
        <is>
          <t>GPS, FGTS e Outras Contribuições</t>
        </is>
      </c>
      <c r="C21" s="6" t="inlineStr">
        <is>
          <t>%</t>
        </is>
      </c>
      <c r="D21" s="6" t="inlineStr">
        <is>
          <t>Valor (R$)</t>
        </is>
      </c>
    </row>
    <row r="22">
      <c r="A22" s="3" t="inlineStr">
        <is>
          <t>A</t>
        </is>
      </c>
      <c r="B22" s="3" t="inlineStr">
        <is>
          <t>INSS</t>
        </is>
      </c>
      <c r="C22" s="8" t="n">
        <v>0.2</v>
      </c>
      <c r="D22" s="4" t="n">
        <v>413.4569444444444</v>
      </c>
    </row>
    <row r="23">
      <c r="A23" s="3" t="inlineStr">
        <is>
          <t>B</t>
        </is>
      </c>
      <c r="B23" s="3" t="inlineStr">
        <is>
          <t>Sal. Educação</t>
        </is>
      </c>
      <c r="C23" s="8" t="n">
        <v>0.025</v>
      </c>
      <c r="D23" s="4" t="n">
        <v>51.68211805555556</v>
      </c>
    </row>
    <row r="24">
      <c r="A24" s="3" t="inlineStr">
        <is>
          <t>C</t>
        </is>
      </c>
      <c r="B24" s="3" t="inlineStr">
        <is>
          <t>SAT/RAT</t>
        </is>
      </c>
      <c r="C24" s="8" t="n">
        <v>0.02</v>
      </c>
      <c r="D24" s="4" t="n">
        <v>41.34569444444445</v>
      </c>
    </row>
    <row r="25">
      <c r="A25" s="3" t="inlineStr">
        <is>
          <t>D</t>
        </is>
      </c>
      <c r="B25" s="3" t="inlineStr">
        <is>
          <t>SESC</t>
        </is>
      </c>
      <c r="C25" s="8" t="n">
        <v>0.015</v>
      </c>
      <c r="D25" s="4" t="n">
        <v>31.00927083333333</v>
      </c>
    </row>
    <row r="26">
      <c r="A26" s="3" t="inlineStr">
        <is>
          <t>E</t>
        </is>
      </c>
      <c r="B26" s="3" t="inlineStr">
        <is>
          <t>SENAC</t>
        </is>
      </c>
      <c r="C26" s="8" t="n">
        <v>0.01</v>
      </c>
      <c r="D26" s="4" t="n">
        <v>20.67284722222222</v>
      </c>
    </row>
    <row r="27">
      <c r="A27" s="3" t="inlineStr">
        <is>
          <t>F</t>
        </is>
      </c>
      <c r="B27" s="3" t="inlineStr">
        <is>
          <t>SEBRAE</t>
        </is>
      </c>
      <c r="C27" s="8" t="n">
        <v>0.006</v>
      </c>
      <c r="D27" s="4" t="n">
        <v>12.40370833333333</v>
      </c>
    </row>
    <row r="28">
      <c r="A28" s="3" t="inlineStr">
        <is>
          <t>G</t>
        </is>
      </c>
      <c r="B28" s="3" t="inlineStr">
        <is>
          <t>INCRA</t>
        </is>
      </c>
      <c r="C28" s="8" t="n">
        <v>0.002</v>
      </c>
      <c r="D28" s="4" t="n">
        <v>4.134569444444445</v>
      </c>
    </row>
    <row r="29">
      <c r="A29" s="3" t="inlineStr">
        <is>
          <t>H</t>
        </is>
      </c>
      <c r="B29" s="3" t="inlineStr">
        <is>
          <t>FGTS</t>
        </is>
      </c>
      <c r="C29" s="8" t="n">
        <v>0.08</v>
      </c>
      <c r="D29" s="4" t="n">
        <v>165.3827777777778</v>
      </c>
    </row>
    <row r="30">
      <c r="A30" s="6" t="n"/>
      <c r="B30" s="6" t="inlineStr">
        <is>
          <t>Total 2.2</t>
        </is>
      </c>
      <c r="C30" s="6" t="n"/>
      <c r="D30" s="7">
        <f>SUM(D22:D29)</f>
        <v/>
      </c>
    </row>
    <row r="32">
      <c r="A32" s="6" t="inlineStr">
        <is>
          <t>2.3</t>
        </is>
      </c>
      <c r="B32" s="6" t="inlineStr">
        <is>
          <t>Benefícios Mensais e Diários</t>
        </is>
      </c>
      <c r="C32" s="6" t="n"/>
      <c r="D32" s="6" t="inlineStr">
        <is>
          <t>Valor (R$)</t>
        </is>
      </c>
    </row>
    <row r="33">
      <c r="A33" s="3" t="inlineStr">
        <is>
          <t>A</t>
        </is>
      </c>
      <c r="B33" s="3" t="inlineStr">
        <is>
          <t>Vale-Transporte (R$4.7x2x22 - 6%)</t>
        </is>
      </c>
      <c r="C33" s="3" t="n"/>
      <c r="D33" s="4" t="n">
        <v>102.955</v>
      </c>
    </row>
    <row r="34">
      <c r="A34" s="3" t="inlineStr">
        <is>
          <t>B</t>
        </is>
      </c>
      <c r="B34" s="3" t="inlineStr">
        <is>
          <t>Auxílio-Alimentação (R$25x22 - 10%)</t>
        </is>
      </c>
      <c r="C34" s="3" t="n"/>
      <c r="D34" s="4" t="n">
        <v>495</v>
      </c>
    </row>
    <row r="35">
      <c r="A35" s="6" t="n"/>
      <c r="B35" s="6" t="inlineStr">
        <is>
          <t>Total 2.3</t>
        </is>
      </c>
      <c r="C35" s="6" t="n"/>
      <c r="D35" s="7">
        <f>SUM(D33:D34)</f>
        <v/>
      </c>
    </row>
    <row r="37">
      <c r="A37" s="6" t="n"/>
      <c r="B37" s="6" t="inlineStr">
        <is>
          <t>TOTAL MÓDULO 2</t>
        </is>
      </c>
      <c r="C37" s="6" t="n"/>
      <c r="D37" s="7">
        <f>D19+D30+D35</f>
        <v/>
      </c>
    </row>
    <row r="39">
      <c r="A39" s="5" t="inlineStr">
        <is>
          <t>MÓDULO 3 - PROVISÃO PARA RESCISÃO</t>
        </is>
      </c>
      <c r="B39" s="5" t="n"/>
      <c r="C39" s="5" t="n"/>
      <c r="D39" s="5" t="n"/>
    </row>
    <row r="40">
      <c r="A40" s="6" t="inlineStr">
        <is>
          <t>3</t>
        </is>
      </c>
      <c r="B40" s="6" t="inlineStr">
        <is>
          <t>Provisão para Rescisão</t>
        </is>
      </c>
      <c r="C40" s="6" t="n"/>
      <c r="D40" s="6" t="inlineStr">
        <is>
          <t>Valor (R$)</t>
        </is>
      </c>
    </row>
    <row r="41">
      <c r="A41" s="3" t="inlineStr">
        <is>
          <t>A</t>
        </is>
      </c>
      <c r="B41" s="3" t="inlineStr">
        <is>
          <t>Aviso prévio indenizado</t>
        </is>
      </c>
      <c r="C41" s="3" t="n"/>
      <c r="D41" s="4" t="n">
        <v>33.57655</v>
      </c>
    </row>
    <row r="42">
      <c r="A42" s="3" t="inlineStr">
        <is>
          <t>B</t>
        </is>
      </c>
      <c r="B42" s="3" t="inlineStr">
        <is>
          <t>Incid. FGTS s/ API</t>
        </is>
      </c>
      <c r="C42" s="3" t="n"/>
      <c r="D42" s="4" t="n">
        <v>2.686124</v>
      </c>
    </row>
    <row r="43">
      <c r="A43" s="3" t="inlineStr">
        <is>
          <t>C</t>
        </is>
      </c>
      <c r="B43" s="3" t="inlineStr">
        <is>
          <t>Multa FGTS API</t>
        </is>
      </c>
      <c r="C43" s="3" t="n"/>
      <c r="D43" s="4" t="n">
        <v>1.283370355555556</v>
      </c>
    </row>
    <row r="44">
      <c r="A44" s="3" t="inlineStr">
        <is>
          <t>D</t>
        </is>
      </c>
      <c r="B44" s="3" t="inlineStr">
        <is>
          <t>Aviso prévio trabalhado</t>
        </is>
      </c>
      <c r="C44" s="3" t="n"/>
      <c r="D44" s="4" t="n">
        <v>7.834528333333334</v>
      </c>
    </row>
    <row r="45">
      <c r="A45" s="3" t="inlineStr">
        <is>
          <t>E</t>
        </is>
      </c>
      <c r="B45" s="3" t="inlineStr">
        <is>
          <t>Incid. Submód 2.2 s/ APT</t>
        </is>
      </c>
      <c r="C45" s="3" t="n"/>
      <c r="D45" s="4" t="n">
        <v>2.804761143333334</v>
      </c>
    </row>
    <row r="46">
      <c r="A46" s="3" t="inlineStr">
        <is>
          <t>F</t>
        </is>
      </c>
      <c r="B46" s="3" t="inlineStr">
        <is>
          <t>Multa FGTS APT</t>
        </is>
      </c>
      <c r="C46" s="3" t="n"/>
      <c r="D46" s="4" t="n">
        <v>1.283370355555556</v>
      </c>
    </row>
    <row r="47">
      <c r="A47" s="6" t="n"/>
      <c r="B47" s="6" t="inlineStr">
        <is>
          <t>TOTAL MÓDULO 3</t>
        </is>
      </c>
      <c r="C47" s="6" t="n"/>
      <c r="D47" s="7">
        <f>SUM(D41:D46)</f>
        <v/>
      </c>
    </row>
    <row r="49">
      <c r="A49" s="5" t="inlineStr">
        <is>
          <t>MÓDULO 4 - CUSTO DE REPOSIÇÃO DO PROFISSIONAL AUSENTE</t>
        </is>
      </c>
      <c r="B49" s="5" t="n"/>
      <c r="C49" s="5" t="n"/>
      <c r="D49" s="5" t="n"/>
    </row>
    <row r="50">
      <c r="A50" s="6" t="inlineStr">
        <is>
          <t>4.1</t>
        </is>
      </c>
      <c r="B50" s="6" t="inlineStr">
        <is>
          <t>Ausências Legais</t>
        </is>
      </c>
      <c r="C50" s="6" t="n"/>
      <c r="D50" s="6" t="inlineStr">
        <is>
          <t>Valor (R$)</t>
        </is>
      </c>
    </row>
    <row r="51">
      <c r="A51" s="3" t="inlineStr">
        <is>
          <t>A</t>
        </is>
      </c>
      <c r="B51" s="3" t="inlineStr">
        <is>
          <t>Férias (substituto)</t>
        </is>
      </c>
      <c r="C51" s="3" t="n"/>
      <c r="D51" s="4" t="n">
        <v>144.2291666666667</v>
      </c>
    </row>
    <row r="52">
      <c r="A52" s="3" t="inlineStr">
        <is>
          <t>B</t>
        </is>
      </c>
      <c r="B52" s="3" t="inlineStr">
        <is>
          <t>Ausências legais</t>
        </is>
      </c>
      <c r="C52" s="3" t="n"/>
      <c r="D52" s="4" t="n">
        <v>14.22534246575342</v>
      </c>
    </row>
    <row r="53">
      <c r="A53" s="3" t="inlineStr">
        <is>
          <t>C</t>
        </is>
      </c>
      <c r="B53" s="3" t="inlineStr">
        <is>
          <t>Licença-paternidade</t>
        </is>
      </c>
      <c r="C53" s="3" t="n"/>
      <c r="D53" s="4" t="n">
        <v>0.4741780821917808</v>
      </c>
    </row>
    <row r="54">
      <c r="A54" s="3" t="inlineStr">
        <is>
          <t>D</t>
        </is>
      </c>
      <c r="B54" s="3" t="inlineStr">
        <is>
          <t>Afastamento maternidade</t>
        </is>
      </c>
      <c r="C54" s="3" t="n"/>
      <c r="D54" s="4" t="n">
        <v>11.38027397260274</v>
      </c>
    </row>
    <row r="55">
      <c r="A55" s="6" t="n"/>
      <c r="B55" s="6" t="inlineStr">
        <is>
          <t>Total 4.1</t>
        </is>
      </c>
      <c r="C55" s="6" t="n"/>
      <c r="D55" s="7">
        <f>SUM(D51:D54)</f>
        <v/>
      </c>
    </row>
    <row r="56">
      <c r="A56" s="3" t="inlineStr">
        <is>
          <t>4.2</t>
        </is>
      </c>
      <c r="B56" s="3" t="inlineStr">
        <is>
          <t>Intrajornada</t>
        </is>
      </c>
      <c r="C56" s="3" t="n"/>
      <c r="D56" s="4" t="n">
        <v>0</v>
      </c>
    </row>
    <row r="57">
      <c r="A57" s="6" t="n"/>
      <c r="B57" s="6" t="inlineStr">
        <is>
          <t>TOTAL MÓDULO 4</t>
        </is>
      </c>
      <c r="C57" s="6" t="n"/>
      <c r="D57" s="7">
        <f>D55+D56</f>
        <v/>
      </c>
    </row>
    <row r="59">
      <c r="A59" s="5" t="inlineStr">
        <is>
          <t>MÓDULO 5 - INSUMOS DIVERSOS</t>
        </is>
      </c>
      <c r="B59" s="5" t="n"/>
      <c r="C59" s="5" t="n"/>
      <c r="D59" s="5" t="n"/>
    </row>
    <row r="60">
      <c r="A60" s="6" t="inlineStr">
        <is>
          <t>5</t>
        </is>
      </c>
      <c r="B60" s="6" t="inlineStr">
        <is>
          <t>Insumos Diversos</t>
        </is>
      </c>
      <c r="C60" s="6" t="n"/>
      <c r="D60" s="6" t="inlineStr">
        <is>
          <t>Valor (R$)</t>
        </is>
      </c>
    </row>
    <row r="61">
      <c r="A61" s="3" t="inlineStr">
        <is>
          <t>A</t>
        </is>
      </c>
      <c r="B61" s="3" t="inlineStr">
        <is>
          <t>Uniformes (mensal)</t>
        </is>
      </c>
      <c r="C61" s="3" t="n"/>
      <c r="D61" s="4" t="n">
        <v>85</v>
      </c>
    </row>
    <row r="62">
      <c r="A62" s="3" t="inlineStr">
        <is>
          <t>B</t>
        </is>
      </c>
      <c r="B62" s="3" t="inlineStr">
        <is>
          <t>Materiais</t>
        </is>
      </c>
      <c r="C62" s="3" t="n"/>
      <c r="D62" s="4" t="n">
        <v>0</v>
      </c>
    </row>
    <row r="63">
      <c r="A63" s="3" t="inlineStr">
        <is>
          <t>C</t>
        </is>
      </c>
      <c r="B63" s="3" t="inlineStr">
        <is>
          <t>Equipamentos</t>
        </is>
      </c>
      <c r="C63" s="3" t="n"/>
      <c r="D63" s="4" t="n">
        <v>0</v>
      </c>
    </row>
    <row r="64">
      <c r="A64" s="6" t="n"/>
      <c r="B64" s="6" t="inlineStr">
        <is>
          <t>TOTAL MÓDULO 5</t>
        </is>
      </c>
      <c r="C64" s="6" t="n"/>
      <c r="D64" s="7">
        <f>SUM(D61:D63)</f>
        <v/>
      </c>
    </row>
    <row r="66">
      <c r="A66" s="5" t="inlineStr">
        <is>
          <t>MÓDULO 6 - CUSTOS INDIRETOS, TRIBUTOS E LUCRO</t>
        </is>
      </c>
      <c r="B66" s="5" t="n"/>
      <c r="C66" s="5" t="n"/>
      <c r="D66" s="5" t="n"/>
    </row>
    <row r="67">
      <c r="A67" s="6" t="inlineStr">
        <is>
          <t>6</t>
        </is>
      </c>
      <c r="B67" s="6" t="inlineStr">
        <is>
          <t>Custos Indiretos, Tributos e Lucro</t>
        </is>
      </c>
      <c r="C67" s="6" t="inlineStr">
        <is>
          <t>%</t>
        </is>
      </c>
      <c r="D67" s="6" t="inlineStr">
        <is>
          <t>Valor (R$)</t>
        </is>
      </c>
    </row>
    <row r="68">
      <c r="A68" s="3" t="inlineStr">
        <is>
          <t>A</t>
        </is>
      </c>
      <c r="B68" s="3" t="inlineStr">
        <is>
          <t>Custos Indiretos</t>
        </is>
      </c>
      <c r="C68" s="8" t="n">
        <v>0.03</v>
      </c>
      <c r="D68" s="4" t="n">
        <v>111.3031595445831</v>
      </c>
    </row>
    <row r="69">
      <c r="A69" s="3" t="inlineStr">
        <is>
          <t>B</t>
        </is>
      </c>
      <c r="B69" s="3" t="inlineStr">
        <is>
          <t>Lucro</t>
        </is>
      </c>
      <c r="C69" s="8" t="n">
        <v>0.03</v>
      </c>
      <c r="D69" s="4" t="n">
        <v>111.3031595445831</v>
      </c>
    </row>
    <row r="70">
      <c r="A70" s="3" t="inlineStr">
        <is>
          <t>C</t>
        </is>
      </c>
      <c r="B70" s="3" t="inlineStr">
        <is>
          <t>Tributos</t>
        </is>
      </c>
    </row>
    <row r="71">
      <c r="A71" s="3" t="n"/>
      <c r="B71" s="3" t="inlineStr">
        <is>
          <t xml:space="preserve">  C.1 PIS</t>
        </is>
      </c>
      <c r="C71" s="8" t="n">
        <v>0.0005</v>
      </c>
      <c r="D71" s="4" t="n">
        <v>2.096328164841118</v>
      </c>
    </row>
    <row r="72">
      <c r="A72" s="3" t="n"/>
      <c r="B72" s="3" t="inlineStr">
        <is>
          <t xml:space="preserve">  C.2 COFINS</t>
        </is>
      </c>
      <c r="C72" s="8" t="n">
        <v>0.0415</v>
      </c>
      <c r="D72" s="4" t="n">
        <v>173.9952376818128</v>
      </c>
    </row>
    <row r="73">
      <c r="A73" s="3" t="n"/>
      <c r="B73" s="3" t="inlineStr">
        <is>
          <t xml:space="preserve">  C.3 ISS</t>
        </is>
      </c>
      <c r="C73" s="8" t="n">
        <v>0.02</v>
      </c>
      <c r="D73" s="4" t="n">
        <v>83.85312659364472</v>
      </c>
    </row>
    <row r="74">
      <c r="A74" s="6" t="n"/>
      <c r="B74" s="6" t="inlineStr">
        <is>
          <t>TOTAL MÓDULO 6</t>
        </is>
      </c>
      <c r="C74" s="6" t="n"/>
      <c r="D74" s="7">
        <f>D68+D69+D71+D72+D73</f>
        <v/>
      </c>
    </row>
    <row r="76">
      <c r="A76" s="5" t="inlineStr">
        <is>
          <t>QUADRO-RESUMO DO CUSTO POR EMPREGADO</t>
        </is>
      </c>
      <c r="B76" s="5" t="n"/>
      <c r="C76" s="5" t="n"/>
      <c r="D76" s="5" t="n"/>
    </row>
    <row r="77">
      <c r="A77" s="3" t="inlineStr">
        <is>
          <t>A</t>
        </is>
      </c>
      <c r="B77" s="3" t="inlineStr">
        <is>
          <t>Módulo 1 - Composição da Remuneração</t>
        </is>
      </c>
      <c r="C77" s="3" t="n"/>
      <c r="D77" s="4" t="n">
        <v>1730.75</v>
      </c>
    </row>
    <row r="78">
      <c r="A78" s="3" t="inlineStr">
        <is>
          <t>B</t>
        </is>
      </c>
      <c r="B78" s="3" t="inlineStr">
        <is>
          <t>Módulo 2 - Encargos e Benefícios</t>
        </is>
      </c>
      <c r="C78" s="3" t="n"/>
      <c r="D78" s="4" t="n">
        <v>1674.577652777778</v>
      </c>
    </row>
    <row r="79">
      <c r="A79" s="3" t="inlineStr">
        <is>
          <t>C</t>
        </is>
      </c>
      <c r="B79" s="3" t="inlineStr">
        <is>
          <t>Módulo 3 - Provisão para Rescisão</t>
        </is>
      </c>
      <c r="C79" s="3" t="n"/>
      <c r="D79" s="4" t="n">
        <v>49.46870418777777</v>
      </c>
    </row>
    <row r="80">
      <c r="A80" s="3" t="inlineStr">
        <is>
          <t>D</t>
        </is>
      </c>
      <c r="B80" s="3" t="inlineStr">
        <is>
          <t>Módulo 4 - Custo de Reposição</t>
        </is>
      </c>
      <c r="C80" s="3" t="n"/>
      <c r="D80" s="4" t="n">
        <v>170.3089611872146</v>
      </c>
    </row>
    <row r="81">
      <c r="A81" s="3" t="inlineStr">
        <is>
          <t>E</t>
        </is>
      </c>
      <c r="B81" s="3" t="inlineStr">
        <is>
          <t>Módulo 5 - Insumos Diversos</t>
        </is>
      </c>
      <c r="C81" s="3" t="n"/>
      <c r="D81" s="4" t="n">
        <v>85</v>
      </c>
    </row>
    <row r="82">
      <c r="A82" s="9" t="n"/>
      <c r="B82" s="9" t="inlineStr">
        <is>
          <t>SUBTOTAL (A+B+C+D+E)</t>
        </is>
      </c>
      <c r="C82" s="9" t="n"/>
      <c r="D82" s="10" t="n">
        <v>3710.10531815277</v>
      </c>
    </row>
    <row r="83">
      <c r="A83" s="3" t="inlineStr">
        <is>
          <t>F</t>
        </is>
      </c>
      <c r="B83" s="3" t="inlineStr">
        <is>
          <t>Módulo 6 - CI, Tributos e Lucro</t>
        </is>
      </c>
      <c r="C83" s="3" t="n"/>
      <c r="D83" s="4" t="n">
        <v>482.5510115294654</v>
      </c>
    </row>
    <row r="84">
      <c r="A84" s="11" t="n"/>
      <c r="B84" s="11" t="inlineStr">
        <is>
          <t>VALOR MENSAL POR EMPREGADO</t>
        </is>
      </c>
      <c r="C84" s="11" t="n"/>
      <c r="D84" s="12" t="n">
        <v>4192.656329682236</v>
      </c>
    </row>
    <row r="85">
      <c r="A85" s="6" t="n"/>
      <c r="B85" s="6" t="inlineStr">
        <is>
          <t>VALOR MENSAL (12 postos)</t>
        </is>
      </c>
      <c r="C85" s="6" t="n"/>
      <c r="D85" s="7" t="n">
        <v>50311.87595618684</v>
      </c>
    </row>
    <row r="86">
      <c r="A86" s="6" t="n"/>
      <c r="B86" s="6" t="inlineStr">
        <is>
          <t>VALOR ANUAL (12 postos x 12)</t>
        </is>
      </c>
      <c r="C86" s="6" t="n"/>
      <c r="D86" s="7" t="n">
        <v>603742.511474242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6"/>
  <sheetViews>
    <sheetView workbookViewId="0">
      <selection activeCell="A1" sqref="A1"/>
    </sheetView>
  </sheetViews>
  <sheetFormatPr baseColWidth="8" defaultRowHeight="15"/>
  <cols>
    <col width="5" customWidth="1" min="1" max="1"/>
    <col width="52" customWidth="1" min="2" max="2"/>
    <col width="14" customWidth="1" min="3" max="3"/>
    <col width="18" customWidth="1" min="4" max="4"/>
  </cols>
  <sheetData>
    <row r="1">
      <c r="A1" s="1" t="inlineStr">
        <is>
          <t>PLANILHA DE CUSTOS E FORMAÇÃO DE PREÇOS - RECEPCIONISTA</t>
        </is>
      </c>
    </row>
    <row r="2">
      <c r="A2" s="2" t="inlineStr">
        <is>
          <t>CCT:</t>
        </is>
      </c>
      <c r="B2" s="3" t="inlineStr">
        <is>
          <t>SEAC-RJ x SIEMACO-RIO RJ001061/2025 (01/03/2025 a 28/02/2026)</t>
        </is>
      </c>
    </row>
    <row r="3">
      <c r="A3" s="2" t="inlineStr">
        <is>
          <t>Cargo:</t>
        </is>
      </c>
      <c r="B3" s="3" t="inlineStr">
        <is>
          <t>RECEPCIONISTA</t>
        </is>
      </c>
      <c r="C3" s="2" t="inlineStr">
        <is>
          <t>CBO:</t>
        </is>
      </c>
      <c r="D3" s="3" t="inlineStr">
        <is>
          <t>4221-05</t>
        </is>
      </c>
    </row>
    <row r="4">
      <c r="A4" s="2" t="inlineStr">
        <is>
          <t>Postos:</t>
        </is>
      </c>
      <c r="B4" s="3" t="n">
        <v>14</v>
      </c>
      <c r="C4" s="2" t="inlineStr">
        <is>
          <t>Jornada:</t>
        </is>
      </c>
      <c r="D4" s="3" t="inlineStr">
        <is>
          <t>44h/sem</t>
        </is>
      </c>
    </row>
    <row r="5">
      <c r="A5" s="2" t="inlineStr">
        <is>
          <t>Salário:</t>
        </is>
      </c>
      <c r="B5" s="4" t="n">
        <v>1837.87</v>
      </c>
    </row>
    <row r="7">
      <c r="A7" s="5" t="inlineStr">
        <is>
          <t>MÓDULO 1 - COMPOSIÇÃO DA REMUNERAÇÃO</t>
        </is>
      </c>
      <c r="B7" s="5" t="n"/>
      <c r="C7" s="5" t="n"/>
      <c r="D7" s="5" t="n"/>
    </row>
    <row r="8">
      <c r="A8" s="6" t="n"/>
      <c r="B8" s="6" t="inlineStr">
        <is>
          <t>Composição da Remuneração</t>
        </is>
      </c>
      <c r="C8" s="6" t="inlineStr">
        <is>
          <t>%</t>
        </is>
      </c>
      <c r="D8" s="6" t="inlineStr">
        <is>
          <t>Valor (R$)</t>
        </is>
      </c>
    </row>
    <row r="9">
      <c r="A9" s="3" t="inlineStr">
        <is>
          <t>A</t>
        </is>
      </c>
      <c r="B9" s="3" t="inlineStr">
        <is>
          <t>Salário Base</t>
        </is>
      </c>
      <c r="C9" s="3" t="n"/>
      <c r="D9" s="4" t="n">
        <v>1837.87</v>
      </c>
    </row>
    <row r="10">
      <c r="A10" s="3" t="inlineStr">
        <is>
          <t>B</t>
        </is>
      </c>
      <c r="B10" s="3" t="inlineStr">
        <is>
          <t>Adicional de periculosidade</t>
        </is>
      </c>
      <c r="C10" s="3" t="n"/>
      <c r="D10" s="4" t="n">
        <v>0</v>
      </c>
    </row>
    <row r="11">
      <c r="A11" s="3" t="inlineStr">
        <is>
          <t>C</t>
        </is>
      </c>
      <c r="B11" s="3" t="inlineStr">
        <is>
          <t>Adicional de insalubridade</t>
        </is>
      </c>
      <c r="C11" s="3" t="n"/>
      <c r="D11" s="4" t="n">
        <v>0</v>
      </c>
    </row>
    <row r="12">
      <c r="A12" s="3" t="inlineStr">
        <is>
          <t>D</t>
        </is>
      </c>
      <c r="B12" s="3" t="inlineStr">
        <is>
          <t>Adicional noturno</t>
        </is>
      </c>
      <c r="C12" s="3" t="n"/>
      <c r="D12" s="4" t="n">
        <v>0</v>
      </c>
    </row>
    <row r="13">
      <c r="A13" s="6" t="n"/>
      <c r="B13" s="6" t="inlineStr">
        <is>
          <t>TOTAL MÓDULO 1</t>
        </is>
      </c>
      <c r="C13" s="6" t="n"/>
      <c r="D13" s="7">
        <f>SUM(D9:D12)</f>
        <v/>
      </c>
    </row>
    <row r="15">
      <c r="A15" s="5" t="inlineStr">
        <is>
          <t>MÓDULO 2 - ENCARGOS E BENEFÍCIOS</t>
        </is>
      </c>
      <c r="B15" s="5" t="n"/>
      <c r="C15" s="5" t="n"/>
      <c r="D15" s="5" t="n"/>
    </row>
    <row r="16">
      <c r="A16" s="6" t="inlineStr">
        <is>
          <t>2.1</t>
        </is>
      </c>
      <c r="B16" s="6" t="inlineStr">
        <is>
          <t>13º Salário, Férias e Adicional</t>
        </is>
      </c>
      <c r="C16" s="6" t="inlineStr">
        <is>
          <t>%</t>
        </is>
      </c>
      <c r="D16" s="6" t="inlineStr">
        <is>
          <t>Valor (R$)</t>
        </is>
      </c>
    </row>
    <row r="17">
      <c r="A17" s="3" t="inlineStr">
        <is>
          <t>A</t>
        </is>
      </c>
      <c r="B17" s="3" t="inlineStr">
        <is>
          <t>13º Salário (1/12)</t>
        </is>
      </c>
      <c r="C17" s="8" t="n">
        <v>0.08333333333333333</v>
      </c>
      <c r="D17" s="4" t="n">
        <v>153.1558333333333</v>
      </c>
    </row>
    <row r="18">
      <c r="A18" s="3" t="inlineStr">
        <is>
          <t>B</t>
        </is>
      </c>
      <c r="B18" s="3" t="inlineStr">
        <is>
          <t>Férias + 1/3 (1/12 x 4/3)</t>
        </is>
      </c>
      <c r="C18" s="8" t="n">
        <v>0.1111111111111111</v>
      </c>
      <c r="D18" s="4" t="n">
        <v>204.2077777777778</v>
      </c>
    </row>
    <row r="19">
      <c r="A19" s="6" t="n"/>
      <c r="B19" s="6" t="inlineStr">
        <is>
          <t>Total 2.1</t>
        </is>
      </c>
      <c r="C19" s="6" t="n"/>
      <c r="D19" s="7">
        <f>SUM(D17:D18)</f>
        <v/>
      </c>
    </row>
    <row r="21">
      <c r="A21" s="6" t="inlineStr">
        <is>
          <t>2.2</t>
        </is>
      </c>
      <c r="B21" s="6" t="inlineStr">
        <is>
          <t>GPS, FGTS e Outras Contribuições</t>
        </is>
      </c>
      <c r="C21" s="6" t="inlineStr">
        <is>
          <t>%</t>
        </is>
      </c>
      <c r="D21" s="6" t="inlineStr">
        <is>
          <t>Valor (R$)</t>
        </is>
      </c>
    </row>
    <row r="22">
      <c r="A22" s="3" t="inlineStr">
        <is>
          <t>A</t>
        </is>
      </c>
      <c r="B22" s="3" t="inlineStr">
        <is>
          <t>INSS</t>
        </is>
      </c>
      <c r="C22" s="8" t="n">
        <v>0.2</v>
      </c>
      <c r="D22" s="4" t="n">
        <v>439.0467222222222</v>
      </c>
    </row>
    <row r="23">
      <c r="A23" s="3" t="inlineStr">
        <is>
          <t>B</t>
        </is>
      </c>
      <c r="B23" s="3" t="inlineStr">
        <is>
          <t>Sal. Educação</t>
        </is>
      </c>
      <c r="C23" s="8" t="n">
        <v>0.025</v>
      </c>
      <c r="D23" s="4" t="n">
        <v>54.88084027777777</v>
      </c>
    </row>
    <row r="24">
      <c r="A24" s="3" t="inlineStr">
        <is>
          <t>C</t>
        </is>
      </c>
      <c r="B24" s="3" t="inlineStr">
        <is>
          <t>SAT/RAT</t>
        </is>
      </c>
      <c r="C24" s="8" t="n">
        <v>0.02</v>
      </c>
      <c r="D24" s="4" t="n">
        <v>43.90467222222222</v>
      </c>
    </row>
    <row r="25">
      <c r="A25" s="3" t="inlineStr">
        <is>
          <t>D</t>
        </is>
      </c>
      <c r="B25" s="3" t="inlineStr">
        <is>
          <t>SESC</t>
        </is>
      </c>
      <c r="C25" s="8" t="n">
        <v>0.015</v>
      </c>
      <c r="D25" s="4" t="n">
        <v>32.92850416666666</v>
      </c>
    </row>
    <row r="26">
      <c r="A26" s="3" t="inlineStr">
        <is>
          <t>E</t>
        </is>
      </c>
      <c r="B26" s="3" t="inlineStr">
        <is>
          <t>SENAC</t>
        </is>
      </c>
      <c r="C26" s="8" t="n">
        <v>0.01</v>
      </c>
      <c r="D26" s="4" t="n">
        <v>21.95233611111111</v>
      </c>
    </row>
    <row r="27">
      <c r="A27" s="3" t="inlineStr">
        <is>
          <t>F</t>
        </is>
      </c>
      <c r="B27" s="3" t="inlineStr">
        <is>
          <t>SEBRAE</t>
        </is>
      </c>
      <c r="C27" s="8" t="n">
        <v>0.006</v>
      </c>
      <c r="D27" s="4" t="n">
        <v>13.17140166666666</v>
      </c>
    </row>
    <row r="28">
      <c r="A28" s="3" t="inlineStr">
        <is>
          <t>G</t>
        </is>
      </c>
      <c r="B28" s="3" t="inlineStr">
        <is>
          <t>INCRA</t>
        </is>
      </c>
      <c r="C28" s="8" t="n">
        <v>0.002</v>
      </c>
      <c r="D28" s="4" t="n">
        <v>4.390467222222222</v>
      </c>
    </row>
    <row r="29">
      <c r="A29" s="3" t="inlineStr">
        <is>
          <t>H</t>
        </is>
      </c>
      <c r="B29" s="3" t="inlineStr">
        <is>
          <t>FGTS</t>
        </is>
      </c>
      <c r="C29" s="8" t="n">
        <v>0.08</v>
      </c>
      <c r="D29" s="4" t="n">
        <v>175.6186888888889</v>
      </c>
    </row>
    <row r="30">
      <c r="A30" s="6" t="n"/>
      <c r="B30" s="6" t="inlineStr">
        <is>
          <t>Total 2.2</t>
        </is>
      </c>
      <c r="C30" s="6" t="n"/>
      <c r="D30" s="7">
        <f>SUM(D22:D29)</f>
        <v/>
      </c>
    </row>
    <row r="32">
      <c r="A32" s="6" t="inlineStr">
        <is>
          <t>2.3</t>
        </is>
      </c>
      <c r="B32" s="6" t="inlineStr">
        <is>
          <t>Benefícios Mensais e Diários</t>
        </is>
      </c>
      <c r="C32" s="6" t="n"/>
      <c r="D32" s="6" t="inlineStr">
        <is>
          <t>Valor (R$)</t>
        </is>
      </c>
    </row>
    <row r="33">
      <c r="A33" s="3" t="inlineStr">
        <is>
          <t>A</t>
        </is>
      </c>
      <c r="B33" s="3" t="inlineStr">
        <is>
          <t>Vale-Transporte (R$4.7x2x22 - 6%)</t>
        </is>
      </c>
      <c r="C33" s="3" t="n"/>
      <c r="D33" s="4" t="n">
        <v>96.52780000000003</v>
      </c>
    </row>
    <row r="34">
      <c r="A34" s="3" t="inlineStr">
        <is>
          <t>B</t>
        </is>
      </c>
      <c r="B34" s="3" t="inlineStr">
        <is>
          <t>Auxílio-Alimentação (R$25x22 - 10%)</t>
        </is>
      </c>
      <c r="C34" s="3" t="n"/>
      <c r="D34" s="4" t="n">
        <v>495</v>
      </c>
    </row>
    <row r="35">
      <c r="A35" s="6" t="n"/>
      <c r="B35" s="6" t="inlineStr">
        <is>
          <t>Total 2.3</t>
        </is>
      </c>
      <c r="C35" s="6" t="n"/>
      <c r="D35" s="7">
        <f>SUM(D33:D34)</f>
        <v/>
      </c>
    </row>
    <row r="37">
      <c r="A37" s="6" t="n"/>
      <c r="B37" s="6" t="inlineStr">
        <is>
          <t>TOTAL MÓDULO 2</t>
        </is>
      </c>
      <c r="C37" s="6" t="n"/>
      <c r="D37" s="7">
        <f>D19+D30+D35</f>
        <v/>
      </c>
    </row>
    <row r="39">
      <c r="A39" s="5" t="inlineStr">
        <is>
          <t>MÓDULO 3 - PROVISÃO PARA RESCISÃO</t>
        </is>
      </c>
      <c r="B39" s="5" t="n"/>
      <c r="C39" s="5" t="n"/>
      <c r="D39" s="5" t="n"/>
    </row>
    <row r="40">
      <c r="A40" s="6" t="inlineStr">
        <is>
          <t>3</t>
        </is>
      </c>
      <c r="B40" s="6" t="inlineStr">
        <is>
          <t>Provisão para Rescisão</t>
        </is>
      </c>
      <c r="C40" s="6" t="n"/>
      <c r="D40" s="6" t="inlineStr">
        <is>
          <t>Valor (R$)</t>
        </is>
      </c>
    </row>
    <row r="41">
      <c r="A41" s="3" t="inlineStr">
        <is>
          <t>A</t>
        </is>
      </c>
      <c r="B41" s="3" t="inlineStr">
        <is>
          <t>Aviso prévio indenizado</t>
        </is>
      </c>
      <c r="C41" s="3" t="n"/>
      <c r="D41" s="4" t="n">
        <v>35.654678</v>
      </c>
    </row>
    <row r="42">
      <c r="A42" s="3" t="inlineStr">
        <is>
          <t>B</t>
        </is>
      </c>
      <c r="B42" s="3" t="inlineStr">
        <is>
          <t>Incid. FGTS s/ API</t>
        </is>
      </c>
      <c r="C42" s="3" t="n"/>
      <c r="D42" s="4" t="n">
        <v>2.85237424</v>
      </c>
    </row>
    <row r="43">
      <c r="A43" s="3" t="inlineStr">
        <is>
          <t>C</t>
        </is>
      </c>
      <c r="B43" s="3" t="inlineStr">
        <is>
          <t>Multa FGTS API</t>
        </is>
      </c>
      <c r="C43" s="3" t="n"/>
      <c r="D43" s="4" t="n">
        <v>1.362801025777778</v>
      </c>
    </row>
    <row r="44">
      <c r="A44" s="3" t="inlineStr">
        <is>
          <t>D</t>
        </is>
      </c>
      <c r="B44" s="3" t="inlineStr">
        <is>
          <t>Aviso prévio trabalhado</t>
        </is>
      </c>
      <c r="C44" s="3" t="n"/>
      <c r="D44" s="4" t="n">
        <v>8.319424866666667</v>
      </c>
    </row>
    <row r="45">
      <c r="A45" s="3" t="inlineStr">
        <is>
          <t>E</t>
        </is>
      </c>
      <c r="B45" s="3" t="inlineStr">
        <is>
          <t>Incid. Submód 2.2 s/ APT</t>
        </is>
      </c>
      <c r="C45" s="3" t="n"/>
      <c r="D45" s="4" t="n">
        <v>2.978354102266667</v>
      </c>
    </row>
    <row r="46">
      <c r="A46" s="3" t="inlineStr">
        <is>
          <t>F</t>
        </is>
      </c>
      <c r="B46" s="3" t="inlineStr">
        <is>
          <t>Multa FGTS APT</t>
        </is>
      </c>
      <c r="C46" s="3" t="n"/>
      <c r="D46" s="4" t="n">
        <v>1.362801025777778</v>
      </c>
    </row>
    <row r="47">
      <c r="A47" s="6" t="n"/>
      <c r="B47" s="6" t="inlineStr">
        <is>
          <t>TOTAL MÓDULO 3</t>
        </is>
      </c>
      <c r="C47" s="6" t="n"/>
      <c r="D47" s="7">
        <f>SUM(D41:D46)</f>
        <v/>
      </c>
    </row>
    <row r="49">
      <c r="A49" s="5" t="inlineStr">
        <is>
          <t>MÓDULO 4 - CUSTO DE REPOSIÇÃO DO PROFISSIONAL AUSENTE</t>
        </is>
      </c>
      <c r="B49" s="5" t="n"/>
      <c r="C49" s="5" t="n"/>
      <c r="D49" s="5" t="n"/>
    </row>
    <row r="50">
      <c r="A50" s="6" t="inlineStr">
        <is>
          <t>4.1</t>
        </is>
      </c>
      <c r="B50" s="6" t="inlineStr">
        <is>
          <t>Ausências Legais</t>
        </is>
      </c>
      <c r="C50" s="6" t="n"/>
      <c r="D50" s="6" t="inlineStr">
        <is>
          <t>Valor (R$)</t>
        </is>
      </c>
    </row>
    <row r="51">
      <c r="A51" s="3" t="inlineStr">
        <is>
          <t>A</t>
        </is>
      </c>
      <c r="B51" s="3" t="inlineStr">
        <is>
          <t>Férias (substituto)</t>
        </is>
      </c>
      <c r="C51" s="3" t="n"/>
      <c r="D51" s="4" t="n">
        <v>153.1558333333333</v>
      </c>
    </row>
    <row r="52">
      <c r="A52" s="3" t="inlineStr">
        <is>
          <t>B</t>
        </is>
      </c>
      <c r="B52" s="3" t="inlineStr">
        <is>
          <t>Ausências legais</t>
        </is>
      </c>
      <c r="C52" s="3" t="n"/>
      <c r="D52" s="4" t="n">
        <v>15.10578082191781</v>
      </c>
    </row>
    <row r="53">
      <c r="A53" s="3" t="inlineStr">
        <is>
          <t>C</t>
        </is>
      </c>
      <c r="B53" s="3" t="inlineStr">
        <is>
          <t>Licença-paternidade</t>
        </is>
      </c>
      <c r="C53" s="3" t="n"/>
      <c r="D53" s="4" t="n">
        <v>0.5035260273972603</v>
      </c>
    </row>
    <row r="54">
      <c r="A54" s="3" t="inlineStr">
        <is>
          <t>D</t>
        </is>
      </c>
      <c r="B54" s="3" t="inlineStr">
        <is>
          <t>Afastamento maternidade</t>
        </is>
      </c>
      <c r="C54" s="3" t="n"/>
      <c r="D54" s="4" t="n">
        <v>12.08462465753425</v>
      </c>
    </row>
    <row r="55">
      <c r="A55" s="6" t="n"/>
      <c r="B55" s="6" t="inlineStr">
        <is>
          <t>Total 4.1</t>
        </is>
      </c>
      <c r="C55" s="6" t="n"/>
      <c r="D55" s="7">
        <f>SUM(D51:D54)</f>
        <v/>
      </c>
    </row>
    <row r="56">
      <c r="A56" s="3" t="inlineStr">
        <is>
          <t>4.2</t>
        </is>
      </c>
      <c r="B56" s="3" t="inlineStr">
        <is>
          <t>Intrajornada</t>
        </is>
      </c>
      <c r="C56" s="3" t="n"/>
      <c r="D56" s="4" t="n">
        <v>0</v>
      </c>
    </row>
    <row r="57">
      <c r="A57" s="6" t="n"/>
      <c r="B57" s="6" t="inlineStr">
        <is>
          <t>TOTAL MÓDULO 4</t>
        </is>
      </c>
      <c r="C57" s="6" t="n"/>
      <c r="D57" s="7">
        <f>D55+D56</f>
        <v/>
      </c>
    </row>
    <row r="59">
      <c r="A59" s="5" t="inlineStr">
        <is>
          <t>MÓDULO 5 - INSUMOS DIVERSOS</t>
        </is>
      </c>
      <c r="B59" s="5" t="n"/>
      <c r="C59" s="5" t="n"/>
      <c r="D59" s="5" t="n"/>
    </row>
    <row r="60">
      <c r="A60" s="6" t="inlineStr">
        <is>
          <t>5</t>
        </is>
      </c>
      <c r="B60" s="6" t="inlineStr">
        <is>
          <t>Insumos Diversos</t>
        </is>
      </c>
      <c r="C60" s="6" t="n"/>
      <c r="D60" s="6" t="inlineStr">
        <is>
          <t>Valor (R$)</t>
        </is>
      </c>
    </row>
    <row r="61">
      <c r="A61" s="3" t="inlineStr">
        <is>
          <t>A</t>
        </is>
      </c>
      <c r="B61" s="3" t="inlineStr">
        <is>
          <t>Uniformes (mensal)</t>
        </is>
      </c>
      <c r="C61" s="3" t="n"/>
      <c r="D61" s="4" t="n">
        <v>100</v>
      </c>
    </row>
    <row r="62">
      <c r="A62" s="3" t="inlineStr">
        <is>
          <t>B</t>
        </is>
      </c>
      <c r="B62" s="3" t="inlineStr">
        <is>
          <t>Materiais</t>
        </is>
      </c>
      <c r="C62" s="3" t="n"/>
      <c r="D62" s="4" t="n">
        <v>0</v>
      </c>
    </row>
    <row r="63">
      <c r="A63" s="3" t="inlineStr">
        <is>
          <t>C</t>
        </is>
      </c>
      <c r="B63" s="3" t="inlineStr">
        <is>
          <t>Equipamentos</t>
        </is>
      </c>
      <c r="C63" s="3" t="n"/>
      <c r="D63" s="4" t="n">
        <v>0</v>
      </c>
    </row>
    <row r="64">
      <c r="A64" s="6" t="n"/>
      <c r="B64" s="6" t="inlineStr">
        <is>
          <t>TOTAL MÓDULO 5</t>
        </is>
      </c>
      <c r="C64" s="6" t="n"/>
      <c r="D64" s="7">
        <f>SUM(D61:D63)</f>
        <v/>
      </c>
    </row>
    <row r="66">
      <c r="A66" s="5" t="inlineStr">
        <is>
          <t>MÓDULO 6 - CUSTOS INDIRETOS, TRIBUTOS E LUCRO</t>
        </is>
      </c>
      <c r="B66" s="5" t="n"/>
      <c r="C66" s="5" t="n"/>
      <c r="D66" s="5" t="n"/>
    </row>
    <row r="67">
      <c r="A67" s="6" t="inlineStr">
        <is>
          <t>6</t>
        </is>
      </c>
      <c r="B67" s="6" t="inlineStr">
        <is>
          <t>Custos Indiretos, Tributos e Lucro</t>
        </is>
      </c>
      <c r="C67" s="6" t="inlineStr">
        <is>
          <t>%</t>
        </is>
      </c>
      <c r="D67" s="6" t="inlineStr">
        <is>
          <t>Valor (R$)</t>
        </is>
      </c>
    </row>
    <row r="68">
      <c r="A68" s="3" t="inlineStr">
        <is>
          <t>A</t>
        </is>
      </c>
      <c r="B68" s="3" t="inlineStr">
        <is>
          <t>Custos Indiretos</t>
        </is>
      </c>
      <c r="C68" s="8" t="n">
        <v>0.03</v>
      </c>
      <c r="D68" s="4" t="n">
        <v>117.1810572596868</v>
      </c>
    </row>
    <row r="69">
      <c r="A69" s="3" t="inlineStr">
        <is>
          <t>B</t>
        </is>
      </c>
      <c r="B69" s="3" t="inlineStr">
        <is>
          <t>Lucro</t>
        </is>
      </c>
      <c r="C69" s="8" t="n">
        <v>0.03</v>
      </c>
      <c r="D69" s="4" t="n">
        <v>117.1810572596868</v>
      </c>
    </row>
    <row r="70">
      <c r="A70" s="3" t="inlineStr">
        <is>
          <t>C</t>
        </is>
      </c>
      <c r="B70" s="3" t="inlineStr">
        <is>
          <t>Tributos</t>
        </is>
      </c>
    </row>
    <row r="71">
      <c r="A71" s="3" t="n"/>
      <c r="B71" s="3" t="inlineStr">
        <is>
          <t xml:space="preserve">  C.1 PIS</t>
        </is>
      </c>
      <c r="C71" s="8" t="n">
        <v>0.0005</v>
      </c>
      <c r="D71" s="4" t="n">
        <v>2.207034838224379</v>
      </c>
    </row>
    <row r="72">
      <c r="A72" s="3" t="n"/>
      <c r="B72" s="3" t="inlineStr">
        <is>
          <t xml:space="preserve">  C.2 COFINS</t>
        </is>
      </c>
      <c r="C72" s="8" t="n">
        <v>0.0415</v>
      </c>
      <c r="D72" s="4" t="n">
        <v>183.1838915726234</v>
      </c>
    </row>
    <row r="73">
      <c r="A73" s="3" t="n"/>
      <c r="B73" s="3" t="inlineStr">
        <is>
          <t xml:space="preserve">  C.3 ISS</t>
        </is>
      </c>
      <c r="C73" s="8" t="n">
        <v>0.02</v>
      </c>
      <c r="D73" s="4" t="n">
        <v>88.28139352897513</v>
      </c>
    </row>
    <row r="74">
      <c r="A74" s="6" t="n"/>
      <c r="B74" s="6" t="inlineStr">
        <is>
          <t>TOTAL MÓDULO 6</t>
        </is>
      </c>
      <c r="C74" s="6" t="n"/>
      <c r="D74" s="7">
        <f>D68+D69+D71+D72+D73</f>
        <v/>
      </c>
    </row>
    <row r="76">
      <c r="A76" s="5" t="inlineStr">
        <is>
          <t>QUADRO-RESUMO DO CUSTO POR EMPREGADO</t>
        </is>
      </c>
      <c r="B76" s="5" t="n"/>
      <c r="C76" s="5" t="n"/>
      <c r="D76" s="5" t="n"/>
    </row>
    <row r="77">
      <c r="A77" s="3" t="inlineStr">
        <is>
          <t>A</t>
        </is>
      </c>
      <c r="B77" s="3" t="inlineStr">
        <is>
          <t>Módulo 1 - Composição da Remuneração</t>
        </is>
      </c>
      <c r="C77" s="3" t="n"/>
      <c r="D77" s="4" t="n">
        <v>1837.87</v>
      </c>
    </row>
    <row r="78">
      <c r="A78" s="3" t="inlineStr">
        <is>
          <t>B</t>
        </is>
      </c>
      <c r="B78" s="3" t="inlineStr">
        <is>
          <t>Módulo 2 - Encargos e Benefícios</t>
        </is>
      </c>
      <c r="C78" s="3" t="n"/>
      <c r="D78" s="4" t="n">
        <v>1734.785043888889</v>
      </c>
    </row>
    <row r="79">
      <c r="A79" s="3" t="inlineStr">
        <is>
          <t>C</t>
        </is>
      </c>
      <c r="B79" s="3" t="inlineStr">
        <is>
          <t>Módulo 3 - Provisão para Rescisão</t>
        </is>
      </c>
      <c r="C79" s="3" t="n"/>
      <c r="D79" s="4" t="n">
        <v>52.53043326048888</v>
      </c>
    </row>
    <row r="80">
      <c r="A80" s="3" t="inlineStr">
        <is>
          <t>D</t>
        </is>
      </c>
      <c r="B80" s="3" t="inlineStr">
        <is>
          <t>Módulo 4 - Custo de Reposição</t>
        </is>
      </c>
      <c r="C80" s="3" t="n"/>
      <c r="D80" s="4" t="n">
        <v>180.8497648401827</v>
      </c>
    </row>
    <row r="81">
      <c r="A81" s="3" t="inlineStr">
        <is>
          <t>E</t>
        </is>
      </c>
      <c r="B81" s="3" t="inlineStr">
        <is>
          <t>Módulo 5 - Insumos Diversos</t>
        </is>
      </c>
      <c r="C81" s="3" t="n"/>
      <c r="D81" s="4" t="n">
        <v>100</v>
      </c>
    </row>
    <row r="82">
      <c r="A82" s="9" t="n"/>
      <c r="B82" s="9" t="inlineStr">
        <is>
          <t>SUBTOTAL (A+B+C+D+E)</t>
        </is>
      </c>
      <c r="C82" s="9" t="n"/>
      <c r="D82" s="10" t="n">
        <v>3906.03524198956</v>
      </c>
    </row>
    <row r="83">
      <c r="A83" s="3" t="inlineStr">
        <is>
          <t>F</t>
        </is>
      </c>
      <c r="B83" s="3" t="inlineStr">
        <is>
          <t>Módulo 6 - CI, Tributos e Lucro</t>
        </is>
      </c>
      <c r="C83" s="3" t="n"/>
      <c r="D83" s="4" t="n">
        <v>508.0344344591966</v>
      </c>
    </row>
    <row r="84">
      <c r="A84" s="11" t="n"/>
      <c r="B84" s="11" t="inlineStr">
        <is>
          <t>VALOR MENSAL POR EMPREGADO</t>
        </is>
      </c>
      <c r="C84" s="11" t="n"/>
      <c r="D84" s="12" t="n">
        <v>4414.069676448757</v>
      </c>
    </row>
    <row r="85">
      <c r="A85" s="6" t="n"/>
      <c r="B85" s="6" t="inlineStr">
        <is>
          <t>VALOR MENSAL (14 postos)</t>
        </is>
      </c>
      <c r="C85" s="6" t="n"/>
      <c r="D85" s="7" t="n">
        <v>61796.97547028259</v>
      </c>
    </row>
    <row r="86">
      <c r="A86" s="6" t="n"/>
      <c r="B86" s="6" t="inlineStr">
        <is>
          <t>VALOR ANUAL (14 postos x 12)</t>
        </is>
      </c>
      <c r="C86" s="6" t="n"/>
      <c r="D86" s="7" t="n">
        <v>741563.705643391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6"/>
  <sheetViews>
    <sheetView workbookViewId="0">
      <selection activeCell="A1" sqref="A1"/>
    </sheetView>
  </sheetViews>
  <sheetFormatPr baseColWidth="8" defaultRowHeight="15"/>
  <cols>
    <col width="5" customWidth="1" min="1" max="1"/>
    <col width="52" customWidth="1" min="2" max="2"/>
    <col width="14" customWidth="1" min="3" max="3"/>
    <col width="18" customWidth="1" min="4" max="4"/>
  </cols>
  <sheetData>
    <row r="1">
      <c r="A1" s="1" t="inlineStr">
        <is>
          <t>PLANILHA DE CUSTOS E FORMAÇÃO DE PREÇOS - SECRETARIA</t>
        </is>
      </c>
    </row>
    <row r="2">
      <c r="A2" s="2" t="inlineStr">
        <is>
          <t>CCT:</t>
        </is>
      </c>
      <c r="B2" s="3" t="inlineStr">
        <is>
          <t>SEAC-RJ x SIEMACO-RIO RJ001061/2025 (01/03/2025 a 28/02/2026)</t>
        </is>
      </c>
    </row>
    <row r="3">
      <c r="A3" s="2" t="inlineStr">
        <is>
          <t>Cargo:</t>
        </is>
      </c>
      <c r="B3" s="3" t="inlineStr">
        <is>
          <t>SECRETARIA</t>
        </is>
      </c>
      <c r="C3" s="2" t="inlineStr">
        <is>
          <t>CBO:</t>
        </is>
      </c>
      <c r="D3" s="3" t="inlineStr">
        <is>
          <t>3515-05</t>
        </is>
      </c>
    </row>
    <row r="4">
      <c r="A4" s="2" t="inlineStr">
        <is>
          <t>Postos:</t>
        </is>
      </c>
      <c r="B4" s="3" t="n">
        <v>20</v>
      </c>
      <c r="C4" s="2" t="inlineStr">
        <is>
          <t>Jornada:</t>
        </is>
      </c>
      <c r="D4" s="3" t="inlineStr">
        <is>
          <t>44h/sem</t>
        </is>
      </c>
    </row>
    <row r="5">
      <c r="A5" s="2" t="inlineStr">
        <is>
          <t>Salário:</t>
        </is>
      </c>
      <c r="B5" s="4" t="n">
        <v>2250.19</v>
      </c>
    </row>
    <row r="7">
      <c r="A7" s="5" t="inlineStr">
        <is>
          <t>MÓDULO 1 - COMPOSIÇÃO DA REMUNERAÇÃO</t>
        </is>
      </c>
      <c r="B7" s="5" t="n"/>
      <c r="C7" s="5" t="n"/>
      <c r="D7" s="5" t="n"/>
    </row>
    <row r="8">
      <c r="A8" s="6" t="n"/>
      <c r="B8" s="6" t="inlineStr">
        <is>
          <t>Composição da Remuneração</t>
        </is>
      </c>
      <c r="C8" s="6" t="inlineStr">
        <is>
          <t>%</t>
        </is>
      </c>
      <c r="D8" s="6" t="inlineStr">
        <is>
          <t>Valor (R$)</t>
        </is>
      </c>
    </row>
    <row r="9">
      <c r="A9" s="3" t="inlineStr">
        <is>
          <t>A</t>
        </is>
      </c>
      <c r="B9" s="3" t="inlineStr">
        <is>
          <t>Salário Base</t>
        </is>
      </c>
      <c r="C9" s="3" t="n"/>
      <c r="D9" s="4" t="n">
        <v>2250.19</v>
      </c>
    </row>
    <row r="10">
      <c r="A10" s="3" t="inlineStr">
        <is>
          <t>B</t>
        </is>
      </c>
      <c r="B10" s="3" t="inlineStr">
        <is>
          <t>Adicional de periculosidade</t>
        </is>
      </c>
      <c r="C10" s="3" t="n"/>
      <c r="D10" s="4" t="n">
        <v>0</v>
      </c>
    </row>
    <row r="11">
      <c r="A11" s="3" t="inlineStr">
        <is>
          <t>C</t>
        </is>
      </c>
      <c r="B11" s="3" t="inlineStr">
        <is>
          <t>Adicional de insalubridade</t>
        </is>
      </c>
      <c r="C11" s="3" t="n"/>
      <c r="D11" s="4" t="n">
        <v>0</v>
      </c>
    </row>
    <row r="12">
      <c r="A12" s="3" t="inlineStr">
        <is>
          <t>D</t>
        </is>
      </c>
      <c r="B12" s="3" t="inlineStr">
        <is>
          <t>Adicional noturno</t>
        </is>
      </c>
      <c r="C12" s="3" t="n"/>
      <c r="D12" s="4" t="n">
        <v>0</v>
      </c>
    </row>
    <row r="13">
      <c r="A13" s="6" t="n"/>
      <c r="B13" s="6" t="inlineStr">
        <is>
          <t>TOTAL MÓDULO 1</t>
        </is>
      </c>
      <c r="C13" s="6" t="n"/>
      <c r="D13" s="7">
        <f>SUM(D9:D12)</f>
        <v/>
      </c>
    </row>
    <row r="15">
      <c r="A15" s="5" t="inlineStr">
        <is>
          <t>MÓDULO 2 - ENCARGOS E BENEFÍCIOS</t>
        </is>
      </c>
      <c r="B15" s="5" t="n"/>
      <c r="C15" s="5" t="n"/>
      <c r="D15" s="5" t="n"/>
    </row>
    <row r="16">
      <c r="A16" s="6" t="inlineStr">
        <is>
          <t>2.1</t>
        </is>
      </c>
      <c r="B16" s="6" t="inlineStr">
        <is>
          <t>13º Salário, Férias e Adicional</t>
        </is>
      </c>
      <c r="C16" s="6" t="inlineStr">
        <is>
          <t>%</t>
        </is>
      </c>
      <c r="D16" s="6" t="inlineStr">
        <is>
          <t>Valor (R$)</t>
        </is>
      </c>
    </row>
    <row r="17">
      <c r="A17" s="3" t="inlineStr">
        <is>
          <t>A</t>
        </is>
      </c>
      <c r="B17" s="3" t="inlineStr">
        <is>
          <t>13º Salário (1/12)</t>
        </is>
      </c>
      <c r="C17" s="8" t="n">
        <v>0.08333333333333333</v>
      </c>
      <c r="D17" s="4" t="n">
        <v>187.5158333333333</v>
      </c>
    </row>
    <row r="18">
      <c r="A18" s="3" t="inlineStr">
        <is>
          <t>B</t>
        </is>
      </c>
      <c r="B18" s="3" t="inlineStr">
        <is>
          <t>Férias + 1/3 (1/12 x 4/3)</t>
        </is>
      </c>
      <c r="C18" s="8" t="n">
        <v>0.1111111111111111</v>
      </c>
      <c r="D18" s="4" t="n">
        <v>250.0211111111111</v>
      </c>
    </row>
    <row r="19">
      <c r="A19" s="6" t="n"/>
      <c r="B19" s="6" t="inlineStr">
        <is>
          <t>Total 2.1</t>
        </is>
      </c>
      <c r="C19" s="6" t="n"/>
      <c r="D19" s="7">
        <f>SUM(D17:D18)</f>
        <v/>
      </c>
    </row>
    <row r="21">
      <c r="A21" s="6" t="inlineStr">
        <is>
          <t>2.2</t>
        </is>
      </c>
      <c r="B21" s="6" t="inlineStr">
        <is>
          <t>GPS, FGTS e Outras Contribuições</t>
        </is>
      </c>
      <c r="C21" s="6" t="inlineStr">
        <is>
          <t>%</t>
        </is>
      </c>
      <c r="D21" s="6" t="inlineStr">
        <is>
          <t>Valor (R$)</t>
        </is>
      </c>
    </row>
    <row r="22">
      <c r="A22" s="3" t="inlineStr">
        <is>
          <t>A</t>
        </is>
      </c>
      <c r="B22" s="3" t="inlineStr">
        <is>
          <t>INSS</t>
        </is>
      </c>
      <c r="C22" s="8" t="n">
        <v>0.2</v>
      </c>
      <c r="D22" s="4" t="n">
        <v>537.545388888889</v>
      </c>
    </row>
    <row r="23">
      <c r="A23" s="3" t="inlineStr">
        <is>
          <t>B</t>
        </is>
      </c>
      <c r="B23" s="3" t="inlineStr">
        <is>
          <t>Sal. Educação</t>
        </is>
      </c>
      <c r="C23" s="8" t="n">
        <v>0.025</v>
      </c>
      <c r="D23" s="4" t="n">
        <v>67.19317361111112</v>
      </c>
    </row>
    <row r="24">
      <c r="A24" s="3" t="inlineStr">
        <is>
          <t>C</t>
        </is>
      </c>
      <c r="B24" s="3" t="inlineStr">
        <is>
          <t>SAT/RAT</t>
        </is>
      </c>
      <c r="C24" s="8" t="n">
        <v>0.02</v>
      </c>
      <c r="D24" s="4" t="n">
        <v>53.7545388888889</v>
      </c>
    </row>
    <row r="25">
      <c r="A25" s="3" t="inlineStr">
        <is>
          <t>D</t>
        </is>
      </c>
      <c r="B25" s="3" t="inlineStr">
        <is>
          <t>SESC</t>
        </is>
      </c>
      <c r="C25" s="8" t="n">
        <v>0.015</v>
      </c>
      <c r="D25" s="4" t="n">
        <v>40.31590416666667</v>
      </c>
    </row>
    <row r="26">
      <c r="A26" s="3" t="inlineStr">
        <is>
          <t>E</t>
        </is>
      </c>
      <c r="B26" s="3" t="inlineStr">
        <is>
          <t>SENAC</t>
        </is>
      </c>
      <c r="C26" s="8" t="n">
        <v>0.01</v>
      </c>
      <c r="D26" s="4" t="n">
        <v>26.87726944444445</v>
      </c>
    </row>
    <row r="27">
      <c r="A27" s="3" t="inlineStr">
        <is>
          <t>F</t>
        </is>
      </c>
      <c r="B27" s="3" t="inlineStr">
        <is>
          <t>SEBRAE</t>
        </is>
      </c>
      <c r="C27" s="8" t="n">
        <v>0.006</v>
      </c>
      <c r="D27" s="4" t="n">
        <v>16.12636166666667</v>
      </c>
    </row>
    <row r="28">
      <c r="A28" s="3" t="inlineStr">
        <is>
          <t>G</t>
        </is>
      </c>
      <c r="B28" s="3" t="inlineStr">
        <is>
          <t>INCRA</t>
        </is>
      </c>
      <c r="C28" s="8" t="n">
        <v>0.002</v>
      </c>
      <c r="D28" s="4" t="n">
        <v>5.375453888888889</v>
      </c>
    </row>
    <row r="29">
      <c r="A29" s="3" t="inlineStr">
        <is>
          <t>H</t>
        </is>
      </c>
      <c r="B29" s="3" t="inlineStr">
        <is>
          <t>FGTS</t>
        </is>
      </c>
      <c r="C29" s="8" t="n">
        <v>0.08</v>
      </c>
      <c r="D29" s="4" t="n">
        <v>215.0181555555556</v>
      </c>
    </row>
    <row r="30">
      <c r="A30" s="6" t="n"/>
      <c r="B30" s="6" t="inlineStr">
        <is>
          <t>Total 2.2</t>
        </is>
      </c>
      <c r="C30" s="6" t="n"/>
      <c r="D30" s="7">
        <f>SUM(D22:D29)</f>
        <v/>
      </c>
    </row>
    <row r="32">
      <c r="A32" s="6" t="inlineStr">
        <is>
          <t>2.3</t>
        </is>
      </c>
      <c r="B32" s="6" t="inlineStr">
        <is>
          <t>Benefícios Mensais e Diários</t>
        </is>
      </c>
      <c r="C32" s="6" t="n"/>
      <c r="D32" s="6" t="inlineStr">
        <is>
          <t>Valor (R$)</t>
        </is>
      </c>
    </row>
    <row r="33">
      <c r="A33" s="3" t="inlineStr">
        <is>
          <t>A</t>
        </is>
      </c>
      <c r="B33" s="3" t="inlineStr">
        <is>
          <t>Vale-Transporte (R$4.7x2x22 - 6%)</t>
        </is>
      </c>
      <c r="C33" s="3" t="n"/>
      <c r="D33" s="4" t="n">
        <v>71.7886</v>
      </c>
    </row>
    <row r="34">
      <c r="A34" s="3" t="inlineStr">
        <is>
          <t>B</t>
        </is>
      </c>
      <c r="B34" s="3" t="inlineStr">
        <is>
          <t>Auxílio-Alimentação (R$25x22 - 10%)</t>
        </is>
      </c>
      <c r="C34" s="3" t="n"/>
      <c r="D34" s="4" t="n">
        <v>495</v>
      </c>
    </row>
    <row r="35">
      <c r="A35" s="6" t="n"/>
      <c r="B35" s="6" t="inlineStr">
        <is>
          <t>Total 2.3</t>
        </is>
      </c>
      <c r="C35" s="6" t="n"/>
      <c r="D35" s="7">
        <f>SUM(D33:D34)</f>
        <v/>
      </c>
    </row>
    <row r="37">
      <c r="A37" s="6" t="n"/>
      <c r="B37" s="6" t="inlineStr">
        <is>
          <t>TOTAL MÓDULO 2</t>
        </is>
      </c>
      <c r="C37" s="6" t="n"/>
      <c r="D37" s="7">
        <f>D19+D30+D35</f>
        <v/>
      </c>
    </row>
    <row r="39">
      <c r="A39" s="5" t="inlineStr">
        <is>
          <t>MÓDULO 3 - PROVISÃO PARA RESCISÃO</t>
        </is>
      </c>
      <c r="B39" s="5" t="n"/>
      <c r="C39" s="5" t="n"/>
      <c r="D39" s="5" t="n"/>
    </row>
    <row r="40">
      <c r="A40" s="6" t="inlineStr">
        <is>
          <t>3</t>
        </is>
      </c>
      <c r="B40" s="6" t="inlineStr">
        <is>
          <t>Provisão para Rescisão</t>
        </is>
      </c>
      <c r="C40" s="6" t="n"/>
      <c r="D40" s="6" t="inlineStr">
        <is>
          <t>Valor (R$)</t>
        </is>
      </c>
    </row>
    <row r="41">
      <c r="A41" s="3" t="inlineStr">
        <is>
          <t>A</t>
        </is>
      </c>
      <c r="B41" s="3" t="inlineStr">
        <is>
          <t>Aviso prévio indenizado</t>
        </is>
      </c>
      <c r="C41" s="3" t="n"/>
      <c r="D41" s="4" t="n">
        <v>43.653686</v>
      </c>
    </row>
    <row r="42">
      <c r="A42" s="3" t="inlineStr">
        <is>
          <t>B</t>
        </is>
      </c>
      <c r="B42" s="3" t="inlineStr">
        <is>
          <t>Incid. FGTS s/ API</t>
        </is>
      </c>
      <c r="C42" s="3" t="n"/>
      <c r="D42" s="4" t="n">
        <v>3.49229488</v>
      </c>
    </row>
    <row r="43">
      <c r="A43" s="3" t="inlineStr">
        <is>
          <t>C</t>
        </is>
      </c>
      <c r="B43" s="3" t="inlineStr">
        <is>
          <t>Multa FGTS API</t>
        </is>
      </c>
      <c r="C43" s="3" t="n"/>
      <c r="D43" s="4" t="n">
        <v>1.668540887111111</v>
      </c>
    </row>
    <row r="44">
      <c r="A44" s="3" t="inlineStr">
        <is>
          <t>D</t>
        </is>
      </c>
      <c r="B44" s="3" t="inlineStr">
        <is>
          <t>Aviso prévio trabalhado</t>
        </is>
      </c>
      <c r="C44" s="3" t="n"/>
      <c r="D44" s="4" t="n">
        <v>10.18586006666666</v>
      </c>
    </row>
    <row r="45">
      <c r="A45" s="3" t="inlineStr">
        <is>
          <t>E</t>
        </is>
      </c>
      <c r="B45" s="3" t="inlineStr">
        <is>
          <t>Incid. Submód 2.2 s/ APT</t>
        </is>
      </c>
      <c r="C45" s="3" t="n"/>
      <c r="D45" s="4" t="n">
        <v>3.646537903866666</v>
      </c>
    </row>
    <row r="46">
      <c r="A46" s="3" t="inlineStr">
        <is>
          <t>F</t>
        </is>
      </c>
      <c r="B46" s="3" t="inlineStr">
        <is>
          <t>Multa FGTS APT</t>
        </is>
      </c>
      <c r="C46" s="3" t="n"/>
      <c r="D46" s="4" t="n">
        <v>1.668540887111111</v>
      </c>
    </row>
    <row r="47">
      <c r="A47" s="6" t="n"/>
      <c r="B47" s="6" t="inlineStr">
        <is>
          <t>TOTAL MÓDULO 3</t>
        </is>
      </c>
      <c r="C47" s="6" t="n"/>
      <c r="D47" s="7">
        <f>SUM(D41:D46)</f>
        <v/>
      </c>
    </row>
    <row r="49">
      <c r="A49" s="5" t="inlineStr">
        <is>
          <t>MÓDULO 4 - CUSTO DE REPOSIÇÃO DO PROFISSIONAL AUSENTE</t>
        </is>
      </c>
      <c r="B49" s="5" t="n"/>
      <c r="C49" s="5" t="n"/>
      <c r="D49" s="5" t="n"/>
    </row>
    <row r="50">
      <c r="A50" s="6" t="inlineStr">
        <is>
          <t>4.1</t>
        </is>
      </c>
      <c r="B50" s="6" t="inlineStr">
        <is>
          <t>Ausências Legais</t>
        </is>
      </c>
      <c r="C50" s="6" t="n"/>
      <c r="D50" s="6" t="inlineStr">
        <is>
          <t>Valor (R$)</t>
        </is>
      </c>
    </row>
    <row r="51">
      <c r="A51" s="3" t="inlineStr">
        <is>
          <t>A</t>
        </is>
      </c>
      <c r="B51" s="3" t="inlineStr">
        <is>
          <t>Férias (substituto)</t>
        </is>
      </c>
      <c r="C51" s="3" t="n"/>
      <c r="D51" s="4" t="n">
        <v>187.5158333333333</v>
      </c>
    </row>
    <row r="52">
      <c r="A52" s="3" t="inlineStr">
        <is>
          <t>B</t>
        </is>
      </c>
      <c r="B52" s="3" t="inlineStr">
        <is>
          <t>Ausências legais</t>
        </is>
      </c>
      <c r="C52" s="3" t="n"/>
      <c r="D52" s="4" t="n">
        <v>18.49471232876712</v>
      </c>
    </row>
    <row r="53">
      <c r="A53" s="3" t="inlineStr">
        <is>
          <t>C</t>
        </is>
      </c>
      <c r="B53" s="3" t="inlineStr">
        <is>
          <t>Licença-paternidade</t>
        </is>
      </c>
      <c r="C53" s="3" t="n"/>
      <c r="D53" s="4" t="n">
        <v>0.6164904109589041</v>
      </c>
    </row>
    <row r="54">
      <c r="A54" s="3" t="inlineStr">
        <is>
          <t>D</t>
        </is>
      </c>
      <c r="B54" s="3" t="inlineStr">
        <is>
          <t>Afastamento maternidade</t>
        </is>
      </c>
      <c r="C54" s="3" t="n"/>
      <c r="D54" s="4" t="n">
        <v>14.7957698630137</v>
      </c>
    </row>
    <row r="55">
      <c r="A55" s="6" t="n"/>
      <c r="B55" s="6" t="inlineStr">
        <is>
          <t>Total 4.1</t>
        </is>
      </c>
      <c r="C55" s="6" t="n"/>
      <c r="D55" s="7">
        <f>SUM(D51:D54)</f>
        <v/>
      </c>
    </row>
    <row r="56">
      <c r="A56" s="3" t="inlineStr">
        <is>
          <t>4.2</t>
        </is>
      </c>
      <c r="B56" s="3" t="inlineStr">
        <is>
          <t>Intrajornada</t>
        </is>
      </c>
      <c r="C56" s="3" t="n"/>
      <c r="D56" s="4" t="n">
        <v>0</v>
      </c>
    </row>
    <row r="57">
      <c r="A57" s="6" t="n"/>
      <c r="B57" s="6" t="inlineStr">
        <is>
          <t>TOTAL MÓDULO 4</t>
        </is>
      </c>
      <c r="C57" s="6" t="n"/>
      <c r="D57" s="7">
        <f>D55+D56</f>
        <v/>
      </c>
    </row>
    <row r="59">
      <c r="A59" s="5" t="inlineStr">
        <is>
          <t>MÓDULO 5 - INSUMOS DIVERSOS</t>
        </is>
      </c>
      <c r="B59" s="5" t="n"/>
      <c r="C59" s="5" t="n"/>
      <c r="D59" s="5" t="n"/>
    </row>
    <row r="60">
      <c r="A60" s="6" t="inlineStr">
        <is>
          <t>5</t>
        </is>
      </c>
      <c r="B60" s="6" t="inlineStr">
        <is>
          <t>Insumos Diversos</t>
        </is>
      </c>
      <c r="C60" s="6" t="n"/>
      <c r="D60" s="6" t="inlineStr">
        <is>
          <t>Valor (R$)</t>
        </is>
      </c>
    </row>
    <row r="61">
      <c r="A61" s="3" t="inlineStr">
        <is>
          <t>A</t>
        </is>
      </c>
      <c r="B61" s="3" t="inlineStr">
        <is>
          <t>Uniformes (mensal)</t>
        </is>
      </c>
      <c r="C61" s="3" t="n"/>
      <c r="D61" s="4" t="n">
        <v>90</v>
      </c>
    </row>
    <row r="62">
      <c r="A62" s="3" t="inlineStr">
        <is>
          <t>B</t>
        </is>
      </c>
      <c r="B62" s="3" t="inlineStr">
        <is>
          <t>Materiais</t>
        </is>
      </c>
      <c r="C62" s="3" t="n"/>
      <c r="D62" s="4" t="n">
        <v>0</v>
      </c>
    </row>
    <row r="63">
      <c r="A63" s="3" t="inlineStr">
        <is>
          <t>C</t>
        </is>
      </c>
      <c r="B63" s="3" t="inlineStr">
        <is>
          <t>Equipamentos</t>
        </is>
      </c>
      <c r="C63" s="3" t="n"/>
      <c r="D63" s="4" t="n">
        <v>0</v>
      </c>
    </row>
    <row r="64">
      <c r="A64" s="6" t="n"/>
      <c r="B64" s="6" t="inlineStr">
        <is>
          <t>TOTAL MÓDULO 5</t>
        </is>
      </c>
      <c r="C64" s="6" t="n"/>
      <c r="D64" s="7">
        <f>SUM(D61:D63)</f>
        <v/>
      </c>
    </row>
    <row r="66">
      <c r="A66" s="5" t="inlineStr">
        <is>
          <t>MÓDULO 6 - CUSTOS INDIRETOS, TRIBUTOS E LUCRO</t>
        </is>
      </c>
      <c r="B66" s="5" t="n"/>
      <c r="C66" s="5" t="n"/>
      <c r="D66" s="5" t="n"/>
    </row>
    <row r="67">
      <c r="A67" s="6" t="inlineStr">
        <is>
          <t>6</t>
        </is>
      </c>
      <c r="B67" s="6" t="inlineStr">
        <is>
          <t>Custos Indiretos, Tributos e Lucro</t>
        </is>
      </c>
      <c r="C67" s="6" t="inlineStr">
        <is>
          <t>%</t>
        </is>
      </c>
      <c r="D67" s="6" t="inlineStr">
        <is>
          <t>Valor (R$)</t>
        </is>
      </c>
    </row>
    <row r="68">
      <c r="A68" s="3" t="inlineStr">
        <is>
          <t>A</t>
        </is>
      </c>
      <c r="B68" s="3" t="inlineStr">
        <is>
          <t>Custos Indiretos</t>
        </is>
      </c>
      <c r="C68" s="8" t="n">
        <v>0.03</v>
      </c>
      <c r="D68" s="4" t="n">
        <v>137.7738017134915</v>
      </c>
    </row>
    <row r="69">
      <c r="A69" s="3" t="inlineStr">
        <is>
          <t>B</t>
        </is>
      </c>
      <c r="B69" s="3" t="inlineStr">
        <is>
          <t>Lucro</t>
        </is>
      </c>
      <c r="C69" s="8" t="n">
        <v>0.03</v>
      </c>
      <c r="D69" s="4" t="n">
        <v>137.7738017134915</v>
      </c>
    </row>
    <row r="70">
      <c r="A70" s="3" t="inlineStr">
        <is>
          <t>C</t>
        </is>
      </c>
      <c r="B70" s="3" t="inlineStr">
        <is>
          <t>Tributos</t>
        </is>
      </c>
    </row>
    <row r="71">
      <c r="A71" s="3" t="n"/>
      <c r="B71" s="3" t="inlineStr">
        <is>
          <t xml:space="preserve">  C.1 PIS</t>
        </is>
      </c>
      <c r="C71" s="8" t="n">
        <v>0.0005</v>
      </c>
      <c r="D71" s="4" t="n">
        <v>2.594886812656379</v>
      </c>
    </row>
    <row r="72">
      <c r="A72" s="3" t="n"/>
      <c r="B72" s="3" t="inlineStr">
        <is>
          <t xml:space="preserve">  C.2 COFINS</t>
        </is>
      </c>
      <c r="C72" s="8" t="n">
        <v>0.0415</v>
      </c>
      <c r="D72" s="4" t="n">
        <v>215.3756054504795</v>
      </c>
    </row>
    <row r="73">
      <c r="A73" s="3" t="n"/>
      <c r="B73" s="3" t="inlineStr">
        <is>
          <t xml:space="preserve">  C.3 ISS</t>
        </is>
      </c>
      <c r="C73" s="8" t="n">
        <v>0.02</v>
      </c>
      <c r="D73" s="4" t="n">
        <v>103.7954725062552</v>
      </c>
    </row>
    <row r="74">
      <c r="A74" s="6" t="n"/>
      <c r="B74" s="6" t="inlineStr">
        <is>
          <t>TOTAL MÓDULO 6</t>
        </is>
      </c>
      <c r="C74" s="6" t="n"/>
      <c r="D74" s="7">
        <f>D68+D69+D71+D72+D73</f>
        <v/>
      </c>
    </row>
    <row r="76">
      <c r="A76" s="5" t="inlineStr">
        <is>
          <t>QUADRO-RESUMO DO CUSTO POR EMPREGADO</t>
        </is>
      </c>
      <c r="B76" s="5" t="n"/>
      <c r="C76" s="5" t="n"/>
      <c r="D76" s="5" t="n"/>
    </row>
    <row r="77">
      <c r="A77" s="3" t="inlineStr">
        <is>
          <t>A</t>
        </is>
      </c>
      <c r="B77" s="3" t="inlineStr">
        <is>
          <t>Módulo 1 - Composição da Remuneração</t>
        </is>
      </c>
      <c r="C77" s="3" t="n"/>
      <c r="D77" s="4" t="n">
        <v>2250.19</v>
      </c>
    </row>
    <row r="78">
      <c r="A78" s="3" t="inlineStr">
        <is>
          <t>B</t>
        </is>
      </c>
      <c r="B78" s="3" t="inlineStr">
        <is>
          <t>Módulo 2 - Encargos e Benefícios</t>
        </is>
      </c>
      <c r="C78" s="3" t="n"/>
      <c r="D78" s="4" t="n">
        <v>1966.531790555556</v>
      </c>
    </row>
    <row r="79">
      <c r="A79" s="3" t="inlineStr">
        <is>
          <t>C</t>
        </is>
      </c>
      <c r="B79" s="3" t="inlineStr">
        <is>
          <t>Módulo 3 - Provisão para Rescisão</t>
        </is>
      </c>
      <c r="C79" s="3" t="n"/>
      <c r="D79" s="4" t="n">
        <v>64.31546062475556</v>
      </c>
    </row>
    <row r="80">
      <c r="A80" s="3" t="inlineStr">
        <is>
          <t>D</t>
        </is>
      </c>
      <c r="B80" s="3" t="inlineStr">
        <is>
          <t>Módulo 4 - Custo de Reposição</t>
        </is>
      </c>
      <c r="C80" s="3" t="n"/>
      <c r="D80" s="4" t="n">
        <v>221.4228059360731</v>
      </c>
    </row>
    <row r="81">
      <c r="A81" s="3" t="inlineStr">
        <is>
          <t>E</t>
        </is>
      </c>
      <c r="B81" s="3" t="inlineStr">
        <is>
          <t>Módulo 5 - Insumos Diversos</t>
        </is>
      </c>
      <c r="C81" s="3" t="n"/>
      <c r="D81" s="4" t="n">
        <v>90</v>
      </c>
    </row>
    <row r="82">
      <c r="A82" s="9" t="n"/>
      <c r="B82" s="9" t="inlineStr">
        <is>
          <t>SUBTOTAL (A+B+C+D+E)</t>
        </is>
      </c>
      <c r="C82" s="9" t="n"/>
      <c r="D82" s="10" t="n">
        <v>4592.460057116384</v>
      </c>
    </row>
    <row r="83">
      <c r="A83" s="3" t="inlineStr">
        <is>
          <t>F</t>
        </is>
      </c>
      <c r="B83" s="3" t="inlineStr">
        <is>
          <t>Módulo 6 - CI, Tributos e Lucro</t>
        </is>
      </c>
      <c r="C83" s="3" t="n"/>
      <c r="D83" s="4" t="n">
        <v>597.3135681963738</v>
      </c>
    </row>
    <row r="84">
      <c r="A84" s="11" t="n"/>
      <c r="B84" s="11" t="inlineStr">
        <is>
          <t>VALOR MENSAL POR EMPREGADO</t>
        </is>
      </c>
      <c r="C84" s="11" t="n"/>
      <c r="D84" s="12" t="n">
        <v>5189.773625312758</v>
      </c>
    </row>
    <row r="85">
      <c r="A85" s="6" t="n"/>
      <c r="B85" s="6" t="inlineStr">
        <is>
          <t>VALOR MENSAL (20 postos)</t>
        </is>
      </c>
      <c r="C85" s="6" t="n"/>
      <c r="D85" s="7" t="n">
        <v>103795.4725062552</v>
      </c>
    </row>
    <row r="86">
      <c r="A86" s="6" t="n"/>
      <c r="B86" s="6" t="inlineStr">
        <is>
          <t>VALOR ANUAL (20 postos x 12)</t>
        </is>
      </c>
      <c r="C86" s="6" t="n"/>
      <c r="D86" s="7" t="n">
        <v>1245545.670075062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6"/>
  <sheetViews>
    <sheetView workbookViewId="0">
      <selection activeCell="A1" sqref="A1"/>
    </sheetView>
  </sheetViews>
  <sheetFormatPr baseColWidth="8" defaultRowHeight="15"/>
  <cols>
    <col width="5" customWidth="1" min="1" max="1"/>
    <col width="52" customWidth="1" min="2" max="2"/>
    <col width="14" customWidth="1" min="3" max="3"/>
    <col width="18" customWidth="1" min="4" max="4"/>
  </cols>
  <sheetData>
    <row r="1">
      <c r="A1" s="1" t="inlineStr">
        <is>
          <t>PLANILHA DE CUSTOS E FORMAÇÃO DE PREÇOS - GARCOM</t>
        </is>
      </c>
    </row>
    <row r="2">
      <c r="A2" s="2" t="inlineStr">
        <is>
          <t>CCT:</t>
        </is>
      </c>
      <c r="B2" s="3" t="inlineStr">
        <is>
          <t>SEAC-RJ x SIEMACO-RIO RJ001061/2025 (01/03/2025 a 28/02/2026)</t>
        </is>
      </c>
    </row>
    <row r="3">
      <c r="A3" s="2" t="inlineStr">
        <is>
          <t>Cargo:</t>
        </is>
      </c>
      <c r="B3" s="3" t="inlineStr">
        <is>
          <t>GARCOM</t>
        </is>
      </c>
      <c r="C3" s="2" t="inlineStr">
        <is>
          <t>CBO:</t>
        </is>
      </c>
      <c r="D3" s="3" t="inlineStr">
        <is>
          <t>5134-05</t>
        </is>
      </c>
    </row>
    <row r="4">
      <c r="A4" s="2" t="inlineStr">
        <is>
          <t>Postos:</t>
        </is>
      </c>
      <c r="B4" s="3" t="n">
        <v>1</v>
      </c>
      <c r="C4" s="2" t="inlineStr">
        <is>
          <t>Jornada:</t>
        </is>
      </c>
      <c r="D4" s="3" t="inlineStr">
        <is>
          <t>44h/sem</t>
        </is>
      </c>
    </row>
    <row r="5">
      <c r="A5" s="2" t="inlineStr">
        <is>
          <t>Salário:</t>
        </is>
      </c>
      <c r="B5" s="4" t="n">
        <v>2465.73</v>
      </c>
    </row>
    <row r="7">
      <c r="A7" s="5" t="inlineStr">
        <is>
          <t>MÓDULO 1 - COMPOSIÇÃO DA REMUNERAÇÃO</t>
        </is>
      </c>
      <c r="B7" s="5" t="n"/>
      <c r="C7" s="5" t="n"/>
      <c r="D7" s="5" t="n"/>
    </row>
    <row r="8">
      <c r="A8" s="6" t="n"/>
      <c r="B8" s="6" t="inlineStr">
        <is>
          <t>Composição da Remuneração</t>
        </is>
      </c>
      <c r="C8" s="6" t="inlineStr">
        <is>
          <t>%</t>
        </is>
      </c>
      <c r="D8" s="6" t="inlineStr">
        <is>
          <t>Valor (R$)</t>
        </is>
      </c>
    </row>
    <row r="9">
      <c r="A9" s="3" t="inlineStr">
        <is>
          <t>A</t>
        </is>
      </c>
      <c r="B9" s="3" t="inlineStr">
        <is>
          <t>Salário Base</t>
        </is>
      </c>
      <c r="C9" s="3" t="n"/>
      <c r="D9" s="4" t="n">
        <v>2465.73</v>
      </c>
    </row>
    <row r="10">
      <c r="A10" s="3" t="inlineStr">
        <is>
          <t>B</t>
        </is>
      </c>
      <c r="B10" s="3" t="inlineStr">
        <is>
          <t>Adicional de periculosidade</t>
        </is>
      </c>
      <c r="C10" s="3" t="n"/>
      <c r="D10" s="4" t="n">
        <v>0</v>
      </c>
    </row>
    <row r="11">
      <c r="A11" s="3" t="inlineStr">
        <is>
          <t>C</t>
        </is>
      </c>
      <c r="B11" s="3" t="inlineStr">
        <is>
          <t>Adicional de insalubridade</t>
        </is>
      </c>
      <c r="C11" s="3" t="n"/>
      <c r="D11" s="4" t="n">
        <v>0</v>
      </c>
    </row>
    <row r="12">
      <c r="A12" s="3" t="inlineStr">
        <is>
          <t>D</t>
        </is>
      </c>
      <c r="B12" s="3" t="inlineStr">
        <is>
          <t>Adicional noturno</t>
        </is>
      </c>
      <c r="C12" s="3" t="n"/>
      <c r="D12" s="4" t="n">
        <v>0</v>
      </c>
    </row>
    <row r="13">
      <c r="A13" s="6" t="n"/>
      <c r="B13" s="6" t="inlineStr">
        <is>
          <t>TOTAL MÓDULO 1</t>
        </is>
      </c>
      <c r="C13" s="6" t="n"/>
      <c r="D13" s="7">
        <f>SUM(D9:D12)</f>
        <v/>
      </c>
    </row>
    <row r="15">
      <c r="A15" s="5" t="inlineStr">
        <is>
          <t>MÓDULO 2 - ENCARGOS E BENEFÍCIOS</t>
        </is>
      </c>
      <c r="B15" s="5" t="n"/>
      <c r="C15" s="5" t="n"/>
      <c r="D15" s="5" t="n"/>
    </row>
    <row r="16">
      <c r="A16" s="6" t="inlineStr">
        <is>
          <t>2.1</t>
        </is>
      </c>
      <c r="B16" s="6" t="inlineStr">
        <is>
          <t>13º Salário, Férias e Adicional</t>
        </is>
      </c>
      <c r="C16" s="6" t="inlineStr">
        <is>
          <t>%</t>
        </is>
      </c>
      <c r="D16" s="6" t="inlineStr">
        <is>
          <t>Valor (R$)</t>
        </is>
      </c>
    </row>
    <row r="17">
      <c r="A17" s="3" t="inlineStr">
        <is>
          <t>A</t>
        </is>
      </c>
      <c r="B17" s="3" t="inlineStr">
        <is>
          <t>13º Salário (1/12)</t>
        </is>
      </c>
      <c r="C17" s="8" t="n">
        <v>0.08333333333333333</v>
      </c>
      <c r="D17" s="4" t="n">
        <v>205.4775</v>
      </c>
    </row>
    <row r="18">
      <c r="A18" s="3" t="inlineStr">
        <is>
          <t>B</t>
        </is>
      </c>
      <c r="B18" s="3" t="inlineStr">
        <is>
          <t>Férias + 1/3 (1/12 x 4/3)</t>
        </is>
      </c>
      <c r="C18" s="8" t="n">
        <v>0.1111111111111111</v>
      </c>
      <c r="D18" s="4" t="n">
        <v>273.97</v>
      </c>
    </row>
    <row r="19">
      <c r="A19" s="6" t="n"/>
      <c r="B19" s="6" t="inlineStr">
        <is>
          <t>Total 2.1</t>
        </is>
      </c>
      <c r="C19" s="6" t="n"/>
      <c r="D19" s="7">
        <f>SUM(D17:D18)</f>
        <v/>
      </c>
    </row>
    <row r="21">
      <c r="A21" s="6" t="inlineStr">
        <is>
          <t>2.2</t>
        </is>
      </c>
      <c r="B21" s="6" t="inlineStr">
        <is>
          <t>GPS, FGTS e Outras Contribuições</t>
        </is>
      </c>
      <c r="C21" s="6" t="inlineStr">
        <is>
          <t>%</t>
        </is>
      </c>
      <c r="D21" s="6" t="inlineStr">
        <is>
          <t>Valor (R$)</t>
        </is>
      </c>
    </row>
    <row r="22">
      <c r="A22" s="3" t="inlineStr">
        <is>
          <t>A</t>
        </is>
      </c>
      <c r="B22" s="3" t="inlineStr">
        <is>
          <t>INSS</t>
        </is>
      </c>
      <c r="C22" s="8" t="n">
        <v>0.2</v>
      </c>
      <c r="D22" s="4" t="n">
        <v>589.0355</v>
      </c>
    </row>
    <row r="23">
      <c r="A23" s="3" t="inlineStr">
        <is>
          <t>B</t>
        </is>
      </c>
      <c r="B23" s="3" t="inlineStr">
        <is>
          <t>Sal. Educação</t>
        </is>
      </c>
      <c r="C23" s="8" t="n">
        <v>0.025</v>
      </c>
      <c r="D23" s="4" t="n">
        <v>73.62943749999999</v>
      </c>
    </row>
    <row r="24">
      <c r="A24" s="3" t="inlineStr">
        <is>
          <t>C</t>
        </is>
      </c>
      <c r="B24" s="3" t="inlineStr">
        <is>
          <t>SAT/RAT</t>
        </is>
      </c>
      <c r="C24" s="8" t="n">
        <v>0.02</v>
      </c>
      <c r="D24" s="4" t="n">
        <v>58.90355</v>
      </c>
    </row>
    <row r="25">
      <c r="A25" s="3" t="inlineStr">
        <is>
          <t>D</t>
        </is>
      </c>
      <c r="B25" s="3" t="inlineStr">
        <is>
          <t>SESC</t>
        </is>
      </c>
      <c r="C25" s="8" t="n">
        <v>0.015</v>
      </c>
      <c r="D25" s="4" t="n">
        <v>44.1776625</v>
      </c>
    </row>
    <row r="26">
      <c r="A26" s="3" t="inlineStr">
        <is>
          <t>E</t>
        </is>
      </c>
      <c r="B26" s="3" t="inlineStr">
        <is>
          <t>SENAC</t>
        </is>
      </c>
      <c r="C26" s="8" t="n">
        <v>0.01</v>
      </c>
      <c r="D26" s="4" t="n">
        <v>29.451775</v>
      </c>
    </row>
    <row r="27">
      <c r="A27" s="3" t="inlineStr">
        <is>
          <t>F</t>
        </is>
      </c>
      <c r="B27" s="3" t="inlineStr">
        <is>
          <t>SEBRAE</t>
        </is>
      </c>
      <c r="C27" s="8" t="n">
        <v>0.006</v>
      </c>
      <c r="D27" s="4" t="n">
        <v>17.671065</v>
      </c>
    </row>
    <row r="28">
      <c r="A28" s="3" t="inlineStr">
        <is>
          <t>G</t>
        </is>
      </c>
      <c r="B28" s="3" t="inlineStr">
        <is>
          <t>INCRA</t>
        </is>
      </c>
      <c r="C28" s="8" t="n">
        <v>0.002</v>
      </c>
      <c r="D28" s="4" t="n">
        <v>5.890355</v>
      </c>
    </row>
    <row r="29">
      <c r="A29" s="3" t="inlineStr">
        <is>
          <t>H</t>
        </is>
      </c>
      <c r="B29" s="3" t="inlineStr">
        <is>
          <t>FGTS</t>
        </is>
      </c>
      <c r="C29" s="8" t="n">
        <v>0.08</v>
      </c>
      <c r="D29" s="4" t="n">
        <v>235.6142</v>
      </c>
    </row>
    <row r="30">
      <c r="A30" s="6" t="n"/>
      <c r="B30" s="6" t="inlineStr">
        <is>
          <t>Total 2.2</t>
        </is>
      </c>
      <c r="C30" s="6" t="n"/>
      <c r="D30" s="7">
        <f>SUM(D22:D29)</f>
        <v/>
      </c>
    </row>
    <row r="32">
      <c r="A32" s="6" t="inlineStr">
        <is>
          <t>2.3</t>
        </is>
      </c>
      <c r="B32" s="6" t="inlineStr">
        <is>
          <t>Benefícios Mensais e Diários</t>
        </is>
      </c>
      <c r="C32" s="6" t="n"/>
      <c r="D32" s="6" t="inlineStr">
        <is>
          <t>Valor (R$)</t>
        </is>
      </c>
    </row>
    <row r="33">
      <c r="A33" s="3" t="inlineStr">
        <is>
          <t>A</t>
        </is>
      </c>
      <c r="B33" s="3" t="inlineStr">
        <is>
          <t>Vale-Transporte (R$4.7x2x22 - 6%)</t>
        </is>
      </c>
      <c r="C33" s="3" t="n"/>
      <c r="D33" s="4" t="n">
        <v>58.85620000000003</v>
      </c>
    </row>
    <row r="34">
      <c r="A34" s="3" t="inlineStr">
        <is>
          <t>B</t>
        </is>
      </c>
      <c r="B34" s="3" t="inlineStr">
        <is>
          <t>Auxílio-Alimentação (R$25x22 - 10%)</t>
        </is>
      </c>
      <c r="C34" s="3" t="n"/>
      <c r="D34" s="4" t="n">
        <v>495</v>
      </c>
    </row>
    <row r="35">
      <c r="A35" s="6" t="n"/>
      <c r="B35" s="6" t="inlineStr">
        <is>
          <t>Total 2.3</t>
        </is>
      </c>
      <c r="C35" s="6" t="n"/>
      <c r="D35" s="7">
        <f>SUM(D33:D34)</f>
        <v/>
      </c>
    </row>
    <row r="37">
      <c r="A37" s="6" t="n"/>
      <c r="B37" s="6" t="inlineStr">
        <is>
          <t>TOTAL MÓDULO 2</t>
        </is>
      </c>
      <c r="C37" s="6" t="n"/>
      <c r="D37" s="7">
        <f>D19+D30+D35</f>
        <v/>
      </c>
    </row>
    <row r="39">
      <c r="A39" s="5" t="inlineStr">
        <is>
          <t>MÓDULO 3 - PROVISÃO PARA RESCISÃO</t>
        </is>
      </c>
      <c r="B39" s="5" t="n"/>
      <c r="C39" s="5" t="n"/>
      <c r="D39" s="5" t="n"/>
    </row>
    <row r="40">
      <c r="A40" s="6" t="inlineStr">
        <is>
          <t>3</t>
        </is>
      </c>
      <c r="B40" s="6" t="inlineStr">
        <is>
          <t>Provisão para Rescisão</t>
        </is>
      </c>
      <c r="C40" s="6" t="n"/>
      <c r="D40" s="6" t="inlineStr">
        <is>
          <t>Valor (R$)</t>
        </is>
      </c>
    </row>
    <row r="41">
      <c r="A41" s="3" t="inlineStr">
        <is>
          <t>A</t>
        </is>
      </c>
      <c r="B41" s="3" t="inlineStr">
        <is>
          <t>Aviso prévio indenizado</t>
        </is>
      </c>
      <c r="C41" s="3" t="n"/>
      <c r="D41" s="4" t="n">
        <v>47.835162</v>
      </c>
    </row>
    <row r="42">
      <c r="A42" s="3" t="inlineStr">
        <is>
          <t>B</t>
        </is>
      </c>
      <c r="B42" s="3" t="inlineStr">
        <is>
          <t>Incid. FGTS s/ API</t>
        </is>
      </c>
      <c r="C42" s="3" t="n"/>
      <c r="D42" s="4" t="n">
        <v>3.82681296</v>
      </c>
    </row>
    <row r="43">
      <c r="A43" s="3" t="inlineStr">
        <is>
          <t>C</t>
        </is>
      </c>
      <c r="B43" s="3" t="inlineStr">
        <is>
          <t>Multa FGTS API</t>
        </is>
      </c>
      <c r="C43" s="3" t="n"/>
      <c r="D43" s="4" t="n">
        <v>1.828366192</v>
      </c>
    </row>
    <row r="44">
      <c r="A44" s="3" t="inlineStr">
        <is>
          <t>D</t>
        </is>
      </c>
      <c r="B44" s="3" t="inlineStr">
        <is>
          <t>Aviso prévio trabalhado</t>
        </is>
      </c>
      <c r="C44" s="3" t="n"/>
      <c r="D44" s="4" t="n">
        <v>11.1615378</v>
      </c>
    </row>
    <row r="45">
      <c r="A45" s="3" t="inlineStr">
        <is>
          <t>E</t>
        </is>
      </c>
      <c r="B45" s="3" t="inlineStr">
        <is>
          <t>Incid. Submód 2.2 s/ APT</t>
        </is>
      </c>
      <c r="C45" s="3" t="n"/>
      <c r="D45" s="4" t="n">
        <v>3.9958305324</v>
      </c>
    </row>
    <row r="46">
      <c r="A46" s="3" t="inlineStr">
        <is>
          <t>F</t>
        </is>
      </c>
      <c r="B46" s="3" t="inlineStr">
        <is>
          <t>Multa FGTS APT</t>
        </is>
      </c>
      <c r="C46" s="3" t="n"/>
      <c r="D46" s="4" t="n">
        <v>1.828366192</v>
      </c>
    </row>
    <row r="47">
      <c r="A47" s="6" t="n"/>
      <c r="B47" s="6" t="inlineStr">
        <is>
          <t>TOTAL MÓDULO 3</t>
        </is>
      </c>
      <c r="C47" s="6" t="n"/>
      <c r="D47" s="7">
        <f>SUM(D41:D46)</f>
        <v/>
      </c>
    </row>
    <row r="49">
      <c r="A49" s="5" t="inlineStr">
        <is>
          <t>MÓDULO 4 - CUSTO DE REPOSIÇÃO DO PROFISSIONAL AUSENTE</t>
        </is>
      </c>
      <c r="B49" s="5" t="n"/>
      <c r="C49" s="5" t="n"/>
      <c r="D49" s="5" t="n"/>
    </row>
    <row r="50">
      <c r="A50" s="6" t="inlineStr">
        <is>
          <t>4.1</t>
        </is>
      </c>
      <c r="B50" s="6" t="inlineStr">
        <is>
          <t>Ausências Legais</t>
        </is>
      </c>
      <c r="C50" s="6" t="n"/>
      <c r="D50" s="6" t="inlineStr">
        <is>
          <t>Valor (R$)</t>
        </is>
      </c>
    </row>
    <row r="51">
      <c r="A51" s="3" t="inlineStr">
        <is>
          <t>A</t>
        </is>
      </c>
      <c r="B51" s="3" t="inlineStr">
        <is>
          <t>Férias (substituto)</t>
        </is>
      </c>
      <c r="C51" s="3" t="n"/>
      <c r="D51" s="4" t="n">
        <v>205.4775</v>
      </c>
    </row>
    <row r="52">
      <c r="A52" s="3" t="inlineStr">
        <is>
          <t>B</t>
        </is>
      </c>
      <c r="B52" s="3" t="inlineStr">
        <is>
          <t>Ausências legais</t>
        </is>
      </c>
      <c r="C52" s="3" t="n"/>
      <c r="D52" s="4" t="n">
        <v>20.26627397260274</v>
      </c>
    </row>
    <row r="53">
      <c r="A53" s="3" t="inlineStr">
        <is>
          <t>C</t>
        </is>
      </c>
      <c r="B53" s="3" t="inlineStr">
        <is>
          <t>Licença-paternidade</t>
        </is>
      </c>
      <c r="C53" s="3" t="n"/>
      <c r="D53" s="4" t="n">
        <v>0.6755424657534246</v>
      </c>
    </row>
    <row r="54">
      <c r="A54" s="3" t="inlineStr">
        <is>
          <t>D</t>
        </is>
      </c>
      <c r="B54" s="3" t="inlineStr">
        <is>
          <t>Afastamento maternidade</t>
        </is>
      </c>
      <c r="C54" s="3" t="n"/>
      <c r="D54" s="4" t="n">
        <v>16.21301917808219</v>
      </c>
    </row>
    <row r="55">
      <c r="A55" s="6" t="n"/>
      <c r="B55" s="6" t="inlineStr">
        <is>
          <t>Total 4.1</t>
        </is>
      </c>
      <c r="C55" s="6" t="n"/>
      <c r="D55" s="7">
        <f>SUM(D51:D54)</f>
        <v/>
      </c>
    </row>
    <row r="56">
      <c r="A56" s="3" t="inlineStr">
        <is>
          <t>4.2</t>
        </is>
      </c>
      <c r="B56" s="3" t="inlineStr">
        <is>
          <t>Intrajornada</t>
        </is>
      </c>
      <c r="C56" s="3" t="n"/>
      <c r="D56" s="4" t="n">
        <v>0</v>
      </c>
    </row>
    <row r="57">
      <c r="A57" s="6" t="n"/>
      <c r="B57" s="6" t="inlineStr">
        <is>
          <t>TOTAL MÓDULO 4</t>
        </is>
      </c>
      <c r="C57" s="6" t="n"/>
      <c r="D57" s="7">
        <f>D55+D56</f>
        <v/>
      </c>
    </row>
    <row r="59">
      <c r="A59" s="5" t="inlineStr">
        <is>
          <t>MÓDULO 5 - INSUMOS DIVERSOS</t>
        </is>
      </c>
      <c r="B59" s="5" t="n"/>
      <c r="C59" s="5" t="n"/>
      <c r="D59" s="5" t="n"/>
    </row>
    <row r="60">
      <c r="A60" s="6" t="inlineStr">
        <is>
          <t>5</t>
        </is>
      </c>
      <c r="B60" s="6" t="inlineStr">
        <is>
          <t>Insumos Diversos</t>
        </is>
      </c>
      <c r="C60" s="6" t="n"/>
      <c r="D60" s="6" t="inlineStr">
        <is>
          <t>Valor (R$)</t>
        </is>
      </c>
    </row>
    <row r="61">
      <c r="A61" s="3" t="inlineStr">
        <is>
          <t>A</t>
        </is>
      </c>
      <c r="B61" s="3" t="inlineStr">
        <is>
          <t>Uniformes (mensal)</t>
        </is>
      </c>
      <c r="C61" s="3" t="n"/>
      <c r="D61" s="4" t="n">
        <v>110</v>
      </c>
    </row>
    <row r="62">
      <c r="A62" s="3" t="inlineStr">
        <is>
          <t>B</t>
        </is>
      </c>
      <c r="B62" s="3" t="inlineStr">
        <is>
          <t>Materiais</t>
        </is>
      </c>
      <c r="C62" s="3" t="n"/>
      <c r="D62" s="4" t="n">
        <v>0</v>
      </c>
    </row>
    <row r="63">
      <c r="A63" s="3" t="inlineStr">
        <is>
          <t>C</t>
        </is>
      </c>
      <c r="B63" s="3" t="inlineStr">
        <is>
          <t>Equipamentos</t>
        </is>
      </c>
      <c r="C63" s="3" t="n"/>
      <c r="D63" s="4" t="n">
        <v>0</v>
      </c>
    </row>
    <row r="64">
      <c r="A64" s="6" t="n"/>
      <c r="B64" s="6" t="inlineStr">
        <is>
          <t>TOTAL MÓDULO 5</t>
        </is>
      </c>
      <c r="C64" s="6" t="n"/>
      <c r="D64" s="7">
        <f>SUM(D61:D63)</f>
        <v/>
      </c>
    </row>
    <row r="66">
      <c r="A66" s="5" t="inlineStr">
        <is>
          <t>MÓDULO 6 - CUSTOS INDIRETOS, TRIBUTOS E LUCRO</t>
        </is>
      </c>
      <c r="B66" s="5" t="n"/>
      <c r="C66" s="5" t="n"/>
      <c r="D66" s="5" t="n"/>
    </row>
    <row r="67">
      <c r="A67" s="6" t="inlineStr">
        <is>
          <t>6</t>
        </is>
      </c>
      <c r="B67" s="6" t="inlineStr">
        <is>
          <t>Custos Indiretos, Tributos e Lucro</t>
        </is>
      </c>
      <c r="C67" s="6" t="inlineStr">
        <is>
          <t>%</t>
        </is>
      </c>
      <c r="D67" s="6" t="inlineStr">
        <is>
          <t>Valor (R$)</t>
        </is>
      </c>
    </row>
    <row r="68">
      <c r="A68" s="3" t="inlineStr">
        <is>
          <t>A</t>
        </is>
      </c>
      <c r="B68" s="3" t="inlineStr">
        <is>
          <t>Custos Indiretos</t>
        </is>
      </c>
      <c r="C68" s="8" t="n">
        <v>0.03</v>
      </c>
      <c r="D68" s="4" t="n">
        <v>149.2954696887851</v>
      </c>
    </row>
    <row r="69">
      <c r="A69" s="3" t="inlineStr">
        <is>
          <t>B</t>
        </is>
      </c>
      <c r="B69" s="3" t="inlineStr">
        <is>
          <t>Lucro</t>
        </is>
      </c>
      <c r="C69" s="8" t="n">
        <v>0.03</v>
      </c>
      <c r="D69" s="4" t="n">
        <v>149.2954696887851</v>
      </c>
    </row>
    <row r="70">
      <c r="A70" s="3" t="inlineStr">
        <is>
          <t>C</t>
        </is>
      </c>
      <c r="B70" s="3" t="inlineStr">
        <is>
          <t>Tributos</t>
        </is>
      </c>
    </row>
    <row r="71">
      <c r="A71" s="3" t="n"/>
      <c r="B71" s="3" t="inlineStr">
        <is>
          <t xml:space="preserve">  C.1 PIS</t>
        </is>
      </c>
      <c r="C71" s="8" t="n">
        <v>0.0005</v>
      </c>
      <c r="D71" s="4" t="n">
        <v>2.811890509419195</v>
      </c>
    </row>
    <row r="72">
      <c r="A72" s="3" t="n"/>
      <c r="B72" s="3" t="inlineStr">
        <is>
          <t xml:space="preserve">  C.2 COFINS</t>
        </is>
      </c>
      <c r="C72" s="8" t="n">
        <v>0.0415</v>
      </c>
      <c r="D72" s="4" t="n">
        <v>233.3869122817932</v>
      </c>
    </row>
    <row r="73">
      <c r="A73" s="3" t="n"/>
      <c r="B73" s="3" t="inlineStr">
        <is>
          <t xml:space="preserve">  C.3 ISS</t>
        </is>
      </c>
      <c r="C73" s="8" t="n">
        <v>0.02</v>
      </c>
      <c r="D73" s="4" t="n">
        <v>112.4756203767678</v>
      </c>
    </row>
    <row r="74">
      <c r="A74" s="6" t="n"/>
      <c r="B74" s="6" t="inlineStr">
        <is>
          <t>TOTAL MÓDULO 6</t>
        </is>
      </c>
      <c r="C74" s="6" t="n"/>
      <c r="D74" s="7">
        <f>D68+D69+D71+D72+D73</f>
        <v/>
      </c>
    </row>
    <row r="76">
      <c r="A76" s="5" t="inlineStr">
        <is>
          <t>QUADRO-RESUMO DO CUSTO POR EMPREGADO</t>
        </is>
      </c>
      <c r="B76" s="5" t="n"/>
      <c r="C76" s="5" t="n"/>
      <c r="D76" s="5" t="n"/>
    </row>
    <row r="77">
      <c r="A77" s="3" t="inlineStr">
        <is>
          <t>A</t>
        </is>
      </c>
      <c r="B77" s="3" t="inlineStr">
        <is>
          <t>Módulo 1 - Composição da Remuneração</t>
        </is>
      </c>
      <c r="C77" s="3" t="n"/>
      <c r="D77" s="4" t="n">
        <v>2465.73</v>
      </c>
    </row>
    <row r="78">
      <c r="A78" s="3" t="inlineStr">
        <is>
          <t>B</t>
        </is>
      </c>
      <c r="B78" s="3" t="inlineStr">
        <is>
          <t>Módulo 2 - Encargos e Benefícios</t>
        </is>
      </c>
      <c r="C78" s="3" t="n"/>
      <c r="D78" s="4" t="n">
        <v>2087.677245</v>
      </c>
    </row>
    <row r="79">
      <c r="A79" s="3" t="inlineStr">
        <is>
          <t>C</t>
        </is>
      </c>
      <c r="B79" s="3" t="inlineStr">
        <is>
          <t>Módulo 3 - Provisão para Rescisão</t>
        </is>
      </c>
      <c r="C79" s="3" t="n"/>
      <c r="D79" s="4" t="n">
        <v>70.47607567640001</v>
      </c>
    </row>
    <row r="80">
      <c r="A80" s="3" t="inlineStr">
        <is>
          <t>D</t>
        </is>
      </c>
      <c r="B80" s="3" t="inlineStr">
        <is>
          <t>Módulo 4 - Custo de Reposição</t>
        </is>
      </c>
      <c r="C80" s="3" t="n"/>
      <c r="D80" s="4" t="n">
        <v>242.6323356164384</v>
      </c>
    </row>
    <row r="81">
      <c r="A81" s="3" t="inlineStr">
        <is>
          <t>E</t>
        </is>
      </c>
      <c r="B81" s="3" t="inlineStr">
        <is>
          <t>Módulo 5 - Insumos Diversos</t>
        </is>
      </c>
      <c r="C81" s="3" t="n"/>
      <c r="D81" s="4" t="n">
        <v>110</v>
      </c>
    </row>
    <row r="82">
      <c r="A82" s="9" t="n"/>
      <c r="B82" s="9" t="inlineStr">
        <is>
          <t>SUBTOTAL (A+B+C+D+E)</t>
        </is>
      </c>
      <c r="C82" s="9" t="n"/>
      <c r="D82" s="10" t="n">
        <v>4976.515656292839</v>
      </c>
    </row>
    <row r="83">
      <c r="A83" s="3" t="inlineStr">
        <is>
          <t>F</t>
        </is>
      </c>
      <c r="B83" s="3" t="inlineStr">
        <is>
          <t>Módulo 6 - CI, Tributos e Lucro</t>
        </is>
      </c>
      <c r="C83" s="3" t="n"/>
      <c r="D83" s="4" t="n">
        <v>647.2653625455507</v>
      </c>
    </row>
    <row r="84">
      <c r="A84" s="11" t="n"/>
      <c r="B84" s="11" t="inlineStr">
        <is>
          <t>VALOR MENSAL POR EMPREGADO</t>
        </is>
      </c>
      <c r="C84" s="11" t="n"/>
      <c r="D84" s="12" t="n">
        <v>5623.781018838389</v>
      </c>
    </row>
    <row r="85">
      <c r="A85" s="6" t="n"/>
      <c r="B85" s="6" t="inlineStr">
        <is>
          <t>VALOR MENSAL (1 postos)</t>
        </is>
      </c>
      <c r="C85" s="6" t="n"/>
      <c r="D85" s="7" t="n">
        <v>5623.781018838389</v>
      </c>
    </row>
    <row r="86">
      <c r="A86" s="6" t="n"/>
      <c r="B86" s="6" t="inlineStr">
        <is>
          <t>VALOR ANUAL (1 postos x 12)</t>
        </is>
      </c>
      <c r="C86" s="6" t="n"/>
      <c r="D86" s="7" t="n">
        <v>67485.37222606067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6"/>
  <sheetViews>
    <sheetView workbookViewId="0">
      <selection activeCell="A1" sqref="A1"/>
    </sheetView>
  </sheetViews>
  <sheetFormatPr baseColWidth="8" defaultRowHeight="15"/>
  <cols>
    <col width="5" customWidth="1" min="1" max="1"/>
    <col width="52" customWidth="1" min="2" max="2"/>
    <col width="14" customWidth="1" min="3" max="3"/>
    <col width="18" customWidth="1" min="4" max="4"/>
  </cols>
  <sheetData>
    <row r="1">
      <c r="A1" s="1" t="inlineStr">
        <is>
          <t>PLANILHA DE CUSTOS E FORMAÇÃO DE PREÇOS - TELEFONISTA</t>
        </is>
      </c>
    </row>
    <row r="2">
      <c r="A2" s="2" t="inlineStr">
        <is>
          <t>CCT:</t>
        </is>
      </c>
      <c r="B2" s="3" t="inlineStr">
        <is>
          <t>SEAC-RJ x SIEMACO-RIO RJ001061/2025 (01/03/2025 a 28/02/2026)</t>
        </is>
      </c>
    </row>
    <row r="3">
      <c r="A3" s="2" t="inlineStr">
        <is>
          <t>Cargo:</t>
        </is>
      </c>
      <c r="B3" s="3" t="inlineStr">
        <is>
          <t>TELEFONISTA</t>
        </is>
      </c>
      <c r="C3" s="2" t="inlineStr">
        <is>
          <t>CBO:</t>
        </is>
      </c>
      <c r="D3" s="3" t="inlineStr">
        <is>
          <t>4222-05</t>
        </is>
      </c>
    </row>
    <row r="4">
      <c r="A4" s="2" t="inlineStr">
        <is>
          <t>Postos:</t>
        </is>
      </c>
      <c r="B4" s="3" t="n">
        <v>12</v>
      </c>
      <c r="C4" s="2" t="inlineStr">
        <is>
          <t>Jornada:</t>
        </is>
      </c>
      <c r="D4" s="3" t="inlineStr">
        <is>
          <t>30h/sem</t>
        </is>
      </c>
    </row>
    <row r="5">
      <c r="A5" s="2" t="inlineStr">
        <is>
          <t>Salário:</t>
        </is>
      </c>
      <c r="B5" s="4" t="n">
        <v>1730.75</v>
      </c>
    </row>
    <row r="7">
      <c r="A7" s="5" t="inlineStr">
        <is>
          <t>MÓDULO 1 - COMPOSIÇÃO DA REMUNERAÇÃO</t>
        </is>
      </c>
      <c r="B7" s="5" t="n"/>
      <c r="C7" s="5" t="n"/>
      <c r="D7" s="5" t="n"/>
    </row>
    <row r="8">
      <c r="A8" s="6" t="n"/>
      <c r="B8" s="6" t="inlineStr">
        <is>
          <t>Composição da Remuneração</t>
        </is>
      </c>
      <c r="C8" s="6" t="inlineStr">
        <is>
          <t>%</t>
        </is>
      </c>
      <c r="D8" s="6" t="inlineStr">
        <is>
          <t>Valor (R$)</t>
        </is>
      </c>
    </row>
    <row r="9">
      <c r="A9" s="3" t="inlineStr">
        <is>
          <t>A</t>
        </is>
      </c>
      <c r="B9" s="3" t="inlineStr">
        <is>
          <t>Salário Base</t>
        </is>
      </c>
      <c r="C9" s="3" t="n"/>
      <c r="D9" s="4" t="n">
        <v>1730.75</v>
      </c>
    </row>
    <row r="10">
      <c r="A10" s="3" t="inlineStr">
        <is>
          <t>B</t>
        </is>
      </c>
      <c r="B10" s="3" t="inlineStr">
        <is>
          <t>Adicional de periculosidade</t>
        </is>
      </c>
      <c r="C10" s="3" t="n"/>
      <c r="D10" s="4" t="n">
        <v>0</v>
      </c>
    </row>
    <row r="11">
      <c r="A11" s="3" t="inlineStr">
        <is>
          <t>C</t>
        </is>
      </c>
      <c r="B11" s="3" t="inlineStr">
        <is>
          <t>Adicional de insalubridade</t>
        </is>
      </c>
      <c r="C11" s="3" t="n"/>
      <c r="D11" s="4" t="n">
        <v>0</v>
      </c>
    </row>
    <row r="12">
      <c r="A12" s="3" t="inlineStr">
        <is>
          <t>D</t>
        </is>
      </c>
      <c r="B12" s="3" t="inlineStr">
        <is>
          <t>Adicional noturno</t>
        </is>
      </c>
      <c r="C12" s="3" t="n"/>
      <c r="D12" s="4" t="n">
        <v>0</v>
      </c>
    </row>
    <row r="13">
      <c r="A13" s="6" t="n"/>
      <c r="B13" s="6" t="inlineStr">
        <is>
          <t>TOTAL MÓDULO 1</t>
        </is>
      </c>
      <c r="C13" s="6" t="n"/>
      <c r="D13" s="7">
        <f>SUM(D9:D12)</f>
        <v/>
      </c>
    </row>
    <row r="15">
      <c r="A15" s="5" t="inlineStr">
        <is>
          <t>MÓDULO 2 - ENCARGOS E BENEFÍCIOS</t>
        </is>
      </c>
      <c r="B15" s="5" t="n"/>
      <c r="C15" s="5" t="n"/>
      <c r="D15" s="5" t="n"/>
    </row>
    <row r="16">
      <c r="A16" s="6" t="inlineStr">
        <is>
          <t>2.1</t>
        </is>
      </c>
      <c r="B16" s="6" t="inlineStr">
        <is>
          <t>13º Salário, Férias e Adicional</t>
        </is>
      </c>
      <c r="C16" s="6" t="inlineStr">
        <is>
          <t>%</t>
        </is>
      </c>
      <c r="D16" s="6" t="inlineStr">
        <is>
          <t>Valor (R$)</t>
        </is>
      </c>
    </row>
    <row r="17">
      <c r="A17" s="3" t="inlineStr">
        <is>
          <t>A</t>
        </is>
      </c>
      <c r="B17" s="3" t="inlineStr">
        <is>
          <t>13º Salário (1/12)</t>
        </is>
      </c>
      <c r="C17" s="8" t="n">
        <v>0.08333333333333333</v>
      </c>
      <c r="D17" s="4" t="n">
        <v>144.2291666666667</v>
      </c>
    </row>
    <row r="18">
      <c r="A18" s="3" t="inlineStr">
        <is>
          <t>B</t>
        </is>
      </c>
      <c r="B18" s="3" t="inlineStr">
        <is>
          <t>Férias + 1/3 (1/12 x 4/3)</t>
        </is>
      </c>
      <c r="C18" s="8" t="n">
        <v>0.1111111111111111</v>
      </c>
      <c r="D18" s="4" t="n">
        <v>192.3055555555555</v>
      </c>
    </row>
    <row r="19">
      <c r="A19" s="6" t="n"/>
      <c r="B19" s="6" t="inlineStr">
        <is>
          <t>Total 2.1</t>
        </is>
      </c>
      <c r="C19" s="6" t="n"/>
      <c r="D19" s="7">
        <f>SUM(D17:D18)</f>
        <v/>
      </c>
    </row>
    <row r="21">
      <c r="A21" s="6" t="inlineStr">
        <is>
          <t>2.2</t>
        </is>
      </c>
      <c r="B21" s="6" t="inlineStr">
        <is>
          <t>GPS, FGTS e Outras Contribuições</t>
        </is>
      </c>
      <c r="C21" s="6" t="inlineStr">
        <is>
          <t>%</t>
        </is>
      </c>
      <c r="D21" s="6" t="inlineStr">
        <is>
          <t>Valor (R$)</t>
        </is>
      </c>
    </row>
    <row r="22">
      <c r="A22" s="3" t="inlineStr">
        <is>
          <t>A</t>
        </is>
      </c>
      <c r="B22" s="3" t="inlineStr">
        <is>
          <t>INSS</t>
        </is>
      </c>
      <c r="C22" s="8" t="n">
        <v>0.2</v>
      </c>
      <c r="D22" s="4" t="n">
        <v>413.4569444444444</v>
      </c>
    </row>
    <row r="23">
      <c r="A23" s="3" t="inlineStr">
        <is>
          <t>B</t>
        </is>
      </c>
      <c r="B23" s="3" t="inlineStr">
        <is>
          <t>Sal. Educação</t>
        </is>
      </c>
      <c r="C23" s="8" t="n">
        <v>0.025</v>
      </c>
      <c r="D23" s="4" t="n">
        <v>51.68211805555556</v>
      </c>
    </row>
    <row r="24">
      <c r="A24" s="3" t="inlineStr">
        <is>
          <t>C</t>
        </is>
      </c>
      <c r="B24" s="3" t="inlineStr">
        <is>
          <t>SAT/RAT</t>
        </is>
      </c>
      <c r="C24" s="8" t="n">
        <v>0.02</v>
      </c>
      <c r="D24" s="4" t="n">
        <v>41.34569444444445</v>
      </c>
    </row>
    <row r="25">
      <c r="A25" s="3" t="inlineStr">
        <is>
          <t>D</t>
        </is>
      </c>
      <c r="B25" s="3" t="inlineStr">
        <is>
          <t>SESC</t>
        </is>
      </c>
      <c r="C25" s="8" t="n">
        <v>0.015</v>
      </c>
      <c r="D25" s="4" t="n">
        <v>31.00927083333333</v>
      </c>
    </row>
    <row r="26">
      <c r="A26" s="3" t="inlineStr">
        <is>
          <t>E</t>
        </is>
      </c>
      <c r="B26" s="3" t="inlineStr">
        <is>
          <t>SENAC</t>
        </is>
      </c>
      <c r="C26" s="8" t="n">
        <v>0.01</v>
      </c>
      <c r="D26" s="4" t="n">
        <v>20.67284722222222</v>
      </c>
    </row>
    <row r="27">
      <c r="A27" s="3" t="inlineStr">
        <is>
          <t>F</t>
        </is>
      </c>
      <c r="B27" s="3" t="inlineStr">
        <is>
          <t>SEBRAE</t>
        </is>
      </c>
      <c r="C27" s="8" t="n">
        <v>0.006</v>
      </c>
      <c r="D27" s="4" t="n">
        <v>12.40370833333333</v>
      </c>
    </row>
    <row r="28">
      <c r="A28" s="3" t="inlineStr">
        <is>
          <t>G</t>
        </is>
      </c>
      <c r="B28" s="3" t="inlineStr">
        <is>
          <t>INCRA</t>
        </is>
      </c>
      <c r="C28" s="8" t="n">
        <v>0.002</v>
      </c>
      <c r="D28" s="4" t="n">
        <v>4.134569444444445</v>
      </c>
    </row>
    <row r="29">
      <c r="A29" s="3" t="inlineStr">
        <is>
          <t>H</t>
        </is>
      </c>
      <c r="B29" s="3" t="inlineStr">
        <is>
          <t>FGTS</t>
        </is>
      </c>
      <c r="C29" s="8" t="n">
        <v>0.08</v>
      </c>
      <c r="D29" s="4" t="n">
        <v>165.3827777777778</v>
      </c>
    </row>
    <row r="30">
      <c r="A30" s="6" t="n"/>
      <c r="B30" s="6" t="inlineStr">
        <is>
          <t>Total 2.2</t>
        </is>
      </c>
      <c r="C30" s="6" t="n"/>
      <c r="D30" s="7">
        <f>SUM(D22:D29)</f>
        <v/>
      </c>
    </row>
    <row r="32">
      <c r="A32" s="6" t="inlineStr">
        <is>
          <t>2.3</t>
        </is>
      </c>
      <c r="B32" s="6" t="inlineStr">
        <is>
          <t>Benefícios Mensais e Diários</t>
        </is>
      </c>
      <c r="C32" s="6" t="n"/>
      <c r="D32" s="6" t="inlineStr">
        <is>
          <t>Valor (R$)</t>
        </is>
      </c>
    </row>
    <row r="33">
      <c r="A33" s="3" t="inlineStr">
        <is>
          <t>A</t>
        </is>
      </c>
      <c r="B33" s="3" t="inlineStr">
        <is>
          <t>Vale-Transporte (R$4.7x2x22 - 6%)</t>
        </is>
      </c>
      <c r="C33" s="3" t="n"/>
      <c r="D33" s="4" t="n">
        <v>102.955</v>
      </c>
    </row>
    <row r="34">
      <c r="A34" s="3" t="inlineStr">
        <is>
          <t>B</t>
        </is>
      </c>
      <c r="B34" s="3" t="inlineStr">
        <is>
          <t>Auxílio-Alimentação (R$25x22 - 10%)</t>
        </is>
      </c>
      <c r="C34" s="3" t="n"/>
      <c r="D34" s="4" t="n">
        <v>495</v>
      </c>
    </row>
    <row r="35">
      <c r="A35" s="6" t="n"/>
      <c r="B35" s="6" t="inlineStr">
        <is>
          <t>Total 2.3</t>
        </is>
      </c>
      <c r="C35" s="6" t="n"/>
      <c r="D35" s="7">
        <f>SUM(D33:D34)</f>
        <v/>
      </c>
    </row>
    <row r="37">
      <c r="A37" s="6" t="n"/>
      <c r="B37" s="6" t="inlineStr">
        <is>
          <t>TOTAL MÓDULO 2</t>
        </is>
      </c>
      <c r="C37" s="6" t="n"/>
      <c r="D37" s="7">
        <f>D19+D30+D35</f>
        <v/>
      </c>
    </row>
    <row r="39">
      <c r="A39" s="5" t="inlineStr">
        <is>
          <t>MÓDULO 3 - PROVISÃO PARA RESCISÃO</t>
        </is>
      </c>
      <c r="B39" s="5" t="n"/>
      <c r="C39" s="5" t="n"/>
      <c r="D39" s="5" t="n"/>
    </row>
    <row r="40">
      <c r="A40" s="6" t="inlineStr">
        <is>
          <t>3</t>
        </is>
      </c>
      <c r="B40" s="6" t="inlineStr">
        <is>
          <t>Provisão para Rescisão</t>
        </is>
      </c>
      <c r="C40" s="6" t="n"/>
      <c r="D40" s="6" t="inlineStr">
        <is>
          <t>Valor (R$)</t>
        </is>
      </c>
    </row>
    <row r="41">
      <c r="A41" s="3" t="inlineStr">
        <is>
          <t>A</t>
        </is>
      </c>
      <c r="B41" s="3" t="inlineStr">
        <is>
          <t>Aviso prévio indenizado</t>
        </is>
      </c>
      <c r="C41" s="3" t="n"/>
      <c r="D41" s="4" t="n">
        <v>33.57655</v>
      </c>
    </row>
    <row r="42">
      <c r="A42" s="3" t="inlineStr">
        <is>
          <t>B</t>
        </is>
      </c>
      <c r="B42" s="3" t="inlineStr">
        <is>
          <t>Incid. FGTS s/ API</t>
        </is>
      </c>
      <c r="C42" s="3" t="n"/>
      <c r="D42" s="4" t="n">
        <v>2.686124</v>
      </c>
    </row>
    <row r="43">
      <c r="A43" s="3" t="inlineStr">
        <is>
          <t>C</t>
        </is>
      </c>
      <c r="B43" s="3" t="inlineStr">
        <is>
          <t>Multa FGTS API</t>
        </is>
      </c>
      <c r="C43" s="3" t="n"/>
      <c r="D43" s="4" t="n">
        <v>1.283370355555556</v>
      </c>
    </row>
    <row r="44">
      <c r="A44" s="3" t="inlineStr">
        <is>
          <t>D</t>
        </is>
      </c>
      <c r="B44" s="3" t="inlineStr">
        <is>
          <t>Aviso prévio trabalhado</t>
        </is>
      </c>
      <c r="C44" s="3" t="n"/>
      <c r="D44" s="4" t="n">
        <v>7.834528333333334</v>
      </c>
    </row>
    <row r="45">
      <c r="A45" s="3" t="inlineStr">
        <is>
          <t>E</t>
        </is>
      </c>
      <c r="B45" s="3" t="inlineStr">
        <is>
          <t>Incid. Submód 2.2 s/ APT</t>
        </is>
      </c>
      <c r="C45" s="3" t="n"/>
      <c r="D45" s="4" t="n">
        <v>2.804761143333334</v>
      </c>
    </row>
    <row r="46">
      <c r="A46" s="3" t="inlineStr">
        <is>
          <t>F</t>
        </is>
      </c>
      <c r="B46" s="3" t="inlineStr">
        <is>
          <t>Multa FGTS APT</t>
        </is>
      </c>
      <c r="C46" s="3" t="n"/>
      <c r="D46" s="4" t="n">
        <v>1.283370355555556</v>
      </c>
    </row>
    <row r="47">
      <c r="A47" s="6" t="n"/>
      <c r="B47" s="6" t="inlineStr">
        <is>
          <t>TOTAL MÓDULO 3</t>
        </is>
      </c>
      <c r="C47" s="6" t="n"/>
      <c r="D47" s="7">
        <f>SUM(D41:D46)</f>
        <v/>
      </c>
    </row>
    <row r="49">
      <c r="A49" s="5" t="inlineStr">
        <is>
          <t>MÓDULO 4 - CUSTO DE REPOSIÇÃO DO PROFISSIONAL AUSENTE</t>
        </is>
      </c>
      <c r="B49" s="5" t="n"/>
      <c r="C49" s="5" t="n"/>
      <c r="D49" s="5" t="n"/>
    </row>
    <row r="50">
      <c r="A50" s="6" t="inlineStr">
        <is>
          <t>4.1</t>
        </is>
      </c>
      <c r="B50" s="6" t="inlineStr">
        <is>
          <t>Ausências Legais</t>
        </is>
      </c>
      <c r="C50" s="6" t="n"/>
      <c r="D50" s="6" t="inlineStr">
        <is>
          <t>Valor (R$)</t>
        </is>
      </c>
    </row>
    <row r="51">
      <c r="A51" s="3" t="inlineStr">
        <is>
          <t>A</t>
        </is>
      </c>
      <c r="B51" s="3" t="inlineStr">
        <is>
          <t>Férias (substituto)</t>
        </is>
      </c>
      <c r="C51" s="3" t="n"/>
      <c r="D51" s="4" t="n">
        <v>144.2291666666667</v>
      </c>
    </row>
    <row r="52">
      <c r="A52" s="3" t="inlineStr">
        <is>
          <t>B</t>
        </is>
      </c>
      <c r="B52" s="3" t="inlineStr">
        <is>
          <t>Ausências legais</t>
        </is>
      </c>
      <c r="C52" s="3" t="n"/>
      <c r="D52" s="4" t="n">
        <v>14.22534246575342</v>
      </c>
    </row>
    <row r="53">
      <c r="A53" s="3" t="inlineStr">
        <is>
          <t>C</t>
        </is>
      </c>
      <c r="B53" s="3" t="inlineStr">
        <is>
          <t>Licença-paternidade</t>
        </is>
      </c>
      <c r="C53" s="3" t="n"/>
      <c r="D53" s="4" t="n">
        <v>0.4741780821917808</v>
      </c>
    </row>
    <row r="54">
      <c r="A54" s="3" t="inlineStr">
        <is>
          <t>D</t>
        </is>
      </c>
      <c r="B54" s="3" t="inlineStr">
        <is>
          <t>Afastamento maternidade</t>
        </is>
      </c>
      <c r="C54" s="3" t="n"/>
      <c r="D54" s="4" t="n">
        <v>11.38027397260274</v>
      </c>
    </row>
    <row r="55">
      <c r="A55" s="6" t="n"/>
      <c r="B55" s="6" t="inlineStr">
        <is>
          <t>Total 4.1</t>
        </is>
      </c>
      <c r="C55" s="6" t="n"/>
      <c r="D55" s="7">
        <f>SUM(D51:D54)</f>
        <v/>
      </c>
    </row>
    <row r="56">
      <c r="A56" s="3" t="inlineStr">
        <is>
          <t>4.2</t>
        </is>
      </c>
      <c r="B56" s="3" t="inlineStr">
        <is>
          <t>Intrajornada</t>
        </is>
      </c>
      <c r="C56" s="3" t="n"/>
      <c r="D56" s="4" t="n">
        <v>0</v>
      </c>
    </row>
    <row r="57">
      <c r="A57" s="6" t="n"/>
      <c r="B57" s="6" t="inlineStr">
        <is>
          <t>TOTAL MÓDULO 4</t>
        </is>
      </c>
      <c r="C57" s="6" t="n"/>
      <c r="D57" s="7">
        <f>D55+D56</f>
        <v/>
      </c>
    </row>
    <row r="59">
      <c r="A59" s="5" t="inlineStr">
        <is>
          <t>MÓDULO 5 - INSUMOS DIVERSOS</t>
        </is>
      </c>
      <c r="B59" s="5" t="n"/>
      <c r="C59" s="5" t="n"/>
      <c r="D59" s="5" t="n"/>
    </row>
    <row r="60">
      <c r="A60" s="6" t="inlineStr">
        <is>
          <t>5</t>
        </is>
      </c>
      <c r="B60" s="6" t="inlineStr">
        <is>
          <t>Insumos Diversos</t>
        </is>
      </c>
      <c r="C60" s="6" t="n"/>
      <c r="D60" s="6" t="inlineStr">
        <is>
          <t>Valor (R$)</t>
        </is>
      </c>
    </row>
    <row r="61">
      <c r="A61" s="3" t="inlineStr">
        <is>
          <t>A</t>
        </is>
      </c>
      <c r="B61" s="3" t="inlineStr">
        <is>
          <t>Uniformes (mensal)</t>
        </is>
      </c>
      <c r="C61" s="3" t="n"/>
      <c r="D61" s="4" t="n">
        <v>90</v>
      </c>
    </row>
    <row r="62">
      <c r="A62" s="3" t="inlineStr">
        <is>
          <t>B</t>
        </is>
      </c>
      <c r="B62" s="3" t="inlineStr">
        <is>
          <t>Materiais</t>
        </is>
      </c>
      <c r="C62" s="3" t="n"/>
      <c r="D62" s="4" t="n">
        <v>0</v>
      </c>
    </row>
    <row r="63">
      <c r="A63" s="3" t="inlineStr">
        <is>
          <t>C</t>
        </is>
      </c>
      <c r="B63" s="3" t="inlineStr">
        <is>
          <t>Equipamentos</t>
        </is>
      </c>
      <c r="C63" s="3" t="n"/>
      <c r="D63" s="4" t="n">
        <v>25</v>
      </c>
    </row>
    <row r="64">
      <c r="A64" s="6" t="n"/>
      <c r="B64" s="6" t="inlineStr">
        <is>
          <t>TOTAL MÓDULO 5</t>
        </is>
      </c>
      <c r="C64" s="6" t="n"/>
      <c r="D64" s="7">
        <f>SUM(D61:D63)</f>
        <v/>
      </c>
    </row>
    <row r="66">
      <c r="A66" s="5" t="inlineStr">
        <is>
          <t>MÓDULO 6 - CUSTOS INDIRETOS, TRIBUTOS E LUCRO</t>
        </is>
      </c>
      <c r="B66" s="5" t="n"/>
      <c r="C66" s="5" t="n"/>
      <c r="D66" s="5" t="n"/>
    </row>
    <row r="67">
      <c r="A67" s="6" t="inlineStr">
        <is>
          <t>6</t>
        </is>
      </c>
      <c r="B67" s="6" t="inlineStr">
        <is>
          <t>Custos Indiretos, Tributos e Lucro</t>
        </is>
      </c>
      <c r="C67" s="6" t="inlineStr">
        <is>
          <t>%</t>
        </is>
      </c>
      <c r="D67" s="6" t="inlineStr">
        <is>
          <t>Valor (R$)</t>
        </is>
      </c>
    </row>
    <row r="68">
      <c r="A68" s="3" t="inlineStr">
        <is>
          <t>A</t>
        </is>
      </c>
      <c r="B68" s="3" t="inlineStr">
        <is>
          <t>Custos Indiretos</t>
        </is>
      </c>
      <c r="C68" s="8" t="n">
        <v>0.03</v>
      </c>
      <c r="D68" s="4" t="n">
        <v>112.2031595445831</v>
      </c>
    </row>
    <row r="69">
      <c r="A69" s="3" t="inlineStr">
        <is>
          <t>B</t>
        </is>
      </c>
      <c r="B69" s="3" t="inlineStr">
        <is>
          <t>Lucro</t>
        </is>
      </c>
      <c r="C69" s="8" t="n">
        <v>0.03</v>
      </c>
      <c r="D69" s="4" t="n">
        <v>112.2031595445831</v>
      </c>
    </row>
    <row r="70">
      <c r="A70" s="3" t="inlineStr">
        <is>
          <t>C</t>
        </is>
      </c>
      <c r="B70" s="3" t="inlineStr">
        <is>
          <t>Tributos</t>
        </is>
      </c>
    </row>
    <row r="71">
      <c r="A71" s="3" t="n"/>
      <c r="B71" s="3" t="inlineStr">
        <is>
          <t xml:space="preserve">  C.1 PIS</t>
        </is>
      </c>
      <c r="C71" s="8" t="n">
        <v>0.0005</v>
      </c>
      <c r="D71" s="4" t="n">
        <v>2.113279124329391</v>
      </c>
    </row>
    <row r="72">
      <c r="A72" s="3" t="n"/>
      <c r="B72" s="3" t="inlineStr">
        <is>
          <t xml:space="preserve">  C.2 COFINS</t>
        </is>
      </c>
      <c r="C72" s="8" t="n">
        <v>0.0415</v>
      </c>
      <c r="D72" s="4" t="n">
        <v>175.4021673193395</v>
      </c>
    </row>
    <row r="73">
      <c r="A73" s="3" t="n"/>
      <c r="B73" s="3" t="inlineStr">
        <is>
          <t xml:space="preserve">  C.3 ISS</t>
        </is>
      </c>
      <c r="C73" s="8" t="n">
        <v>0.02</v>
      </c>
      <c r="D73" s="4" t="n">
        <v>84.53116497317563</v>
      </c>
    </row>
    <row r="74">
      <c r="A74" s="6" t="n"/>
      <c r="B74" s="6" t="inlineStr">
        <is>
          <t>TOTAL MÓDULO 6</t>
        </is>
      </c>
      <c r="C74" s="6" t="n"/>
      <c r="D74" s="7">
        <f>D68+D69+D71+D72+D73</f>
        <v/>
      </c>
    </row>
    <row r="76">
      <c r="A76" s="5" t="inlineStr">
        <is>
          <t>QUADRO-RESUMO DO CUSTO POR EMPREGADO</t>
        </is>
      </c>
      <c r="B76" s="5" t="n"/>
      <c r="C76" s="5" t="n"/>
      <c r="D76" s="5" t="n"/>
    </row>
    <row r="77">
      <c r="A77" s="3" t="inlineStr">
        <is>
          <t>A</t>
        </is>
      </c>
      <c r="B77" s="3" t="inlineStr">
        <is>
          <t>Módulo 1 - Composição da Remuneração</t>
        </is>
      </c>
      <c r="C77" s="3" t="n"/>
      <c r="D77" s="4" t="n">
        <v>1730.75</v>
      </c>
    </row>
    <row r="78">
      <c r="A78" s="3" t="inlineStr">
        <is>
          <t>B</t>
        </is>
      </c>
      <c r="B78" s="3" t="inlineStr">
        <is>
          <t>Módulo 2 - Encargos e Benefícios</t>
        </is>
      </c>
      <c r="C78" s="3" t="n"/>
      <c r="D78" s="4" t="n">
        <v>1674.577652777778</v>
      </c>
    </row>
    <row r="79">
      <c r="A79" s="3" t="inlineStr">
        <is>
          <t>C</t>
        </is>
      </c>
      <c r="B79" s="3" t="inlineStr">
        <is>
          <t>Módulo 3 - Provisão para Rescisão</t>
        </is>
      </c>
      <c r="C79" s="3" t="n"/>
      <c r="D79" s="4" t="n">
        <v>49.46870418777777</v>
      </c>
    </row>
    <row r="80">
      <c r="A80" s="3" t="inlineStr">
        <is>
          <t>D</t>
        </is>
      </c>
      <c r="B80" s="3" t="inlineStr">
        <is>
          <t>Módulo 4 - Custo de Reposição</t>
        </is>
      </c>
      <c r="C80" s="3" t="n"/>
      <c r="D80" s="4" t="n">
        <v>170.3089611872146</v>
      </c>
    </row>
    <row r="81">
      <c r="A81" s="3" t="inlineStr">
        <is>
          <t>E</t>
        </is>
      </c>
      <c r="B81" s="3" t="inlineStr">
        <is>
          <t>Módulo 5 - Insumos Diversos</t>
        </is>
      </c>
      <c r="C81" s="3" t="n"/>
      <c r="D81" s="4" t="n">
        <v>115</v>
      </c>
    </row>
    <row r="82">
      <c r="A82" s="9" t="n"/>
      <c r="B82" s="9" t="inlineStr">
        <is>
          <t>SUBTOTAL (A+B+C+D+E)</t>
        </is>
      </c>
      <c r="C82" s="9" t="n"/>
      <c r="D82" s="10" t="n">
        <v>3740.10531815277</v>
      </c>
    </row>
    <row r="83">
      <c r="A83" s="3" t="inlineStr">
        <is>
          <t>F</t>
        </is>
      </c>
      <c r="B83" s="3" t="inlineStr">
        <is>
          <t>Módulo 6 - CI, Tributos e Lucro</t>
        </is>
      </c>
      <c r="C83" s="3" t="n"/>
      <c r="D83" s="4" t="n">
        <v>486.4529305060111</v>
      </c>
    </row>
    <row r="84">
      <c r="A84" s="11" t="n"/>
      <c r="B84" s="11" t="inlineStr">
        <is>
          <t>VALOR MENSAL POR EMPREGADO</t>
        </is>
      </c>
      <c r="C84" s="11" t="n"/>
      <c r="D84" s="12" t="n">
        <v>4226.558248658782</v>
      </c>
    </row>
    <row r="85">
      <c r="A85" s="6" t="n"/>
      <c r="B85" s="6" t="inlineStr">
        <is>
          <t>VALOR MENSAL (12 postos)</t>
        </is>
      </c>
      <c r="C85" s="6" t="n"/>
      <c r="D85" s="7" t="n">
        <v>50718.69898390539</v>
      </c>
    </row>
    <row r="86">
      <c r="A86" s="6" t="n"/>
      <c r="B86" s="6" t="inlineStr">
        <is>
          <t>VALOR ANUAL (12 postos x 12)</t>
        </is>
      </c>
      <c r="C86" s="6" t="n"/>
      <c r="D86" s="7" t="n">
        <v>608624.3878068647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0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SEFAZ/RJ - PE 005/2026 - APOIO ADMINISTRATIVO (MIAMI)</t>
        </is>
      </c>
    </row>
    <row r="2">
      <c r="A2" s="13" t="inlineStr">
        <is>
          <t>CCT SEAC-RJ x SIEMACO-RIO RJ001061/2025 (01/03/2025 a 28/02/2026) | Lucro Real | PIS 0.05% COFINS 4.15% ISS 2%</t>
        </is>
      </c>
    </row>
    <row r="4">
      <c r="A4" s="5" t="inlineStr">
        <is>
          <t>Item</t>
        </is>
      </c>
      <c r="B4" s="5" t="inlineStr">
        <is>
          <t>Cargo</t>
        </is>
      </c>
      <c r="C4" s="5" t="inlineStr">
        <is>
          <t>Postos</t>
        </is>
      </c>
      <c r="D4" s="5" t="inlineStr">
        <is>
          <t>R$/Emp/Mês</t>
        </is>
      </c>
      <c r="E4" s="5" t="inlineStr">
        <is>
          <t>R$ Mensal</t>
        </is>
      </c>
      <c r="F4" s="5" t="inlineStr">
        <is>
          <t>R$ Anual</t>
        </is>
      </c>
    </row>
    <row r="5">
      <c r="A5" s="3" t="n">
        <v>1</v>
      </c>
      <c r="B5" s="3" t="inlineStr">
        <is>
          <t>ENCARREGADO</t>
        </is>
      </c>
      <c r="C5" s="3" t="n">
        <v>2</v>
      </c>
      <c r="D5" s="4" t="n">
        <v>5026.043883089607</v>
      </c>
      <c r="E5" s="4" t="n">
        <v>10052.08776617921</v>
      </c>
      <c r="F5" s="4" t="n">
        <v>120625.0531941506</v>
      </c>
    </row>
    <row r="6">
      <c r="A6" s="3" t="n">
        <v>2</v>
      </c>
      <c r="B6" s="3" t="inlineStr">
        <is>
          <t>COPEIRA</t>
        </is>
      </c>
      <c r="C6" s="3" t="n">
        <v>12</v>
      </c>
      <c r="D6" s="4" t="n">
        <v>4192.656329682236</v>
      </c>
      <c r="E6" s="4" t="n">
        <v>50311.87595618684</v>
      </c>
      <c r="F6" s="4" t="n">
        <v>603742.511474242</v>
      </c>
    </row>
    <row r="7">
      <c r="A7" s="3" t="n">
        <v>3</v>
      </c>
      <c r="B7" s="3" t="inlineStr">
        <is>
          <t>RECEPCIONISTA</t>
        </is>
      </c>
      <c r="C7" s="3" t="n">
        <v>14</v>
      </c>
      <c r="D7" s="4" t="n">
        <v>4414.069676448757</v>
      </c>
      <c r="E7" s="4" t="n">
        <v>61796.97547028259</v>
      </c>
      <c r="F7" s="4" t="n">
        <v>741563.705643391</v>
      </c>
    </row>
    <row r="8">
      <c r="A8" s="3" t="n">
        <v>4</v>
      </c>
      <c r="B8" s="3" t="inlineStr">
        <is>
          <t>SECRETARIA</t>
        </is>
      </c>
      <c r="C8" s="3" t="n">
        <v>20</v>
      </c>
      <c r="D8" s="4" t="n">
        <v>5189.773625312758</v>
      </c>
      <c r="E8" s="4" t="n">
        <v>103795.4725062552</v>
      </c>
      <c r="F8" s="4" t="n">
        <v>1245545.670075062</v>
      </c>
    </row>
    <row r="9">
      <c r="A9" s="3" t="n">
        <v>5</v>
      </c>
      <c r="B9" s="3" t="inlineStr">
        <is>
          <t>GARCOM</t>
        </is>
      </c>
      <c r="C9" s="3" t="n">
        <v>1</v>
      </c>
      <c r="D9" s="4" t="n">
        <v>5623.781018838389</v>
      </c>
      <c r="E9" s="4" t="n">
        <v>5623.781018838389</v>
      </c>
      <c r="F9" s="4" t="n">
        <v>67485.37222606067</v>
      </c>
    </row>
    <row r="10">
      <c r="A10" s="3" t="n">
        <v>6</v>
      </c>
      <c r="B10" s="3" t="inlineStr">
        <is>
          <t>TELEFONISTA</t>
        </is>
      </c>
      <c r="C10" s="3" t="n">
        <v>12</v>
      </c>
      <c r="D10" s="4" t="n">
        <v>4226.558248658782</v>
      </c>
      <c r="E10" s="4" t="n">
        <v>50718.69898390539</v>
      </c>
      <c r="F10" s="4" t="n">
        <v>608624.3878068647</v>
      </c>
    </row>
    <row r="11">
      <c r="A11" s="6" t="n"/>
      <c r="B11" s="6" t="inlineStr">
        <is>
          <t>TOTAL</t>
        </is>
      </c>
      <c r="C11" s="6" t="n">
        <v>61</v>
      </c>
      <c r="D11" s="6" t="n"/>
      <c r="E11" s="7" t="n">
        <v>282298.8917016476</v>
      </c>
      <c r="F11" s="7" t="n">
        <v>3387586.700419771</v>
      </c>
    </row>
    <row r="13">
      <c r="B13" s="2" t="inlineStr">
        <is>
          <t>TETO EDITAL (anual):</t>
        </is>
      </c>
      <c r="F13" s="14" t="n">
        <v>3680743.94</v>
      </c>
    </row>
    <row r="14">
      <c r="B14" s="2" t="inlineStr">
        <is>
          <t>NOSSA PROPOSTA:</t>
        </is>
      </c>
      <c r="F14" s="12" t="n">
        <v>3387586.700419771</v>
      </c>
    </row>
    <row r="15">
      <c r="B15" s="2" t="inlineStr">
        <is>
          <t>DESCONTO:</t>
        </is>
      </c>
      <c r="F15" s="15" t="n">
        <v>0.07964619228041939</v>
      </c>
    </row>
    <row r="16">
      <c r="B16" s="2" t="inlineStr">
        <is>
          <t>MARGEM DISPONÍVEL:</t>
        </is>
      </c>
      <c r="F16" s="14" t="n">
        <v>293157.2395802285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10" customWidth="1" min="3" max="3"/>
    <col width="10" customWidth="1" min="4" max="4"/>
    <col width="18" customWidth="1" min="5" max="5"/>
    <col width="16" customWidth="1" min="6" max="6"/>
    <col width="18" customWidth="1" min="7" max="7"/>
    <col width="16" customWidth="1" min="8" max="8"/>
    <col width="18" customWidth="1" min="9" max="9"/>
  </cols>
  <sheetData>
    <row r="1">
      <c r="A1" s="1" t="inlineStr">
        <is>
          <t>ANÁLISE DE BREAK-EVEN E CENÁRIOS DE LANCE</t>
        </is>
      </c>
    </row>
    <row r="3">
      <c r="B3" s="6" t="inlineStr">
        <is>
          <t>REFERÊNCIAS DO EDITAL</t>
        </is>
      </c>
    </row>
    <row r="4">
      <c r="B4" s="3" t="inlineStr">
        <is>
          <t>Teto Edital (anual):</t>
        </is>
      </c>
      <c r="E4" s="14" t="n">
        <v>3680743.94</v>
      </c>
    </row>
    <row r="5">
      <c r="B5" s="3" t="inlineStr">
        <is>
          <t>Inexequibilidade (50%):</t>
        </is>
      </c>
      <c r="E5" s="4" t="n">
        <v>1840371.97</v>
      </c>
    </row>
    <row r="7">
      <c r="B7" s="6" t="inlineStr">
        <is>
          <t>BREAK-EVEN POR CARGO (CI=0% / Lucro=0%)</t>
        </is>
      </c>
    </row>
    <row r="8">
      <c r="A8" s="5" t="n"/>
      <c r="B8" s="5" t="inlineStr">
        <is>
          <t>Cargo</t>
        </is>
      </c>
      <c r="C8" s="5" t="inlineStr">
        <is>
          <t>Postos</t>
        </is>
      </c>
      <c r="D8" s="5" t="n"/>
      <c r="E8" s="5" t="inlineStr">
        <is>
          <t>Custo/Emp/Mês</t>
        </is>
      </c>
      <c r="F8" s="5" t="inlineStr">
        <is>
          <t>Custo Mensal</t>
        </is>
      </c>
      <c r="G8" s="5" t="n"/>
      <c r="H8" s="5" t="n"/>
      <c r="I8" s="5" t="inlineStr">
        <is>
          <t>Custo Anual</t>
        </is>
      </c>
    </row>
    <row r="9">
      <c r="A9" s="3" t="n">
        <v>1</v>
      </c>
      <c r="B9" s="3" t="inlineStr">
        <is>
          <t>ENCARREGADO</t>
        </is>
      </c>
      <c r="C9" s="3" t="n">
        <v>2</v>
      </c>
      <c r="E9" s="4" t="n">
        <v>4741.550833103403</v>
      </c>
      <c r="F9" s="4" t="n">
        <v>9483.101666206807</v>
      </c>
      <c r="I9" s="4" t="n">
        <v>113797.2199944817</v>
      </c>
    </row>
    <row r="10">
      <c r="A10" s="3" t="n">
        <v>2</v>
      </c>
      <c r="B10" s="3" t="inlineStr">
        <is>
          <t>COPEIRA</t>
        </is>
      </c>
      <c r="C10" s="3" t="n">
        <v>12</v>
      </c>
      <c r="E10" s="4" t="n">
        <v>3955.336160077581</v>
      </c>
      <c r="F10" s="4" t="n">
        <v>47464.03392093097</v>
      </c>
      <c r="I10" s="4" t="n">
        <v>569568.4070511716</v>
      </c>
    </row>
    <row r="11">
      <c r="A11" s="3" t="n">
        <v>3</v>
      </c>
      <c r="B11" s="3" t="inlineStr">
        <is>
          <t>RECEPCIONISTA</t>
        </is>
      </c>
      <c r="C11" s="3" t="n">
        <v>14</v>
      </c>
      <c r="E11" s="4" t="n">
        <v>4164.216675895053</v>
      </c>
      <c r="F11" s="4" t="n">
        <v>58299.03346253074</v>
      </c>
      <c r="I11" s="4" t="n">
        <v>699588.4015503689</v>
      </c>
    </row>
    <row r="12">
      <c r="A12" s="3" t="n">
        <v>4</v>
      </c>
      <c r="B12" s="3" t="inlineStr">
        <is>
          <t>SECRETARIA</t>
        </is>
      </c>
      <c r="C12" s="3" t="n">
        <v>20</v>
      </c>
      <c r="E12" s="4" t="n">
        <v>4896.01285406864</v>
      </c>
      <c r="F12" s="4" t="n">
        <v>97920.25708137281</v>
      </c>
      <c r="I12" s="4" t="n">
        <v>1175043.084976474</v>
      </c>
    </row>
    <row r="13">
      <c r="A13" s="3" t="n">
        <v>5</v>
      </c>
      <c r="B13" s="3" t="inlineStr">
        <is>
          <t>GARCOM</t>
        </is>
      </c>
      <c r="C13" s="3" t="n">
        <v>1</v>
      </c>
      <c r="E13" s="4" t="n">
        <v>5305.453791356971</v>
      </c>
      <c r="F13" s="4" t="n">
        <v>5305.453791356971</v>
      </c>
      <c r="I13" s="4" t="n">
        <v>63665.44549628365</v>
      </c>
    </row>
    <row r="14">
      <c r="A14" s="3" t="n">
        <v>6</v>
      </c>
      <c r="B14" s="3" t="inlineStr">
        <is>
          <t>TELEFONISTA</t>
        </is>
      </c>
      <c r="C14" s="3" t="n">
        <v>12</v>
      </c>
      <c r="E14" s="4" t="n">
        <v>3987.319102508284</v>
      </c>
      <c r="F14" s="4" t="n">
        <v>47847.82923009941</v>
      </c>
      <c r="I14" s="4" t="n">
        <v>574173.9507611929</v>
      </c>
    </row>
    <row r="15">
      <c r="A15" s="16" t="n"/>
      <c r="B15" s="16" t="inlineStr">
        <is>
          <t>CUSTO PURO (BREAK-EVEN)</t>
        </is>
      </c>
      <c r="F15" s="17" t="n">
        <v>266319.7091524977</v>
      </c>
      <c r="I15" s="17" t="n">
        <v>3195836.509829972</v>
      </c>
    </row>
    <row r="16">
      <c r="B16" s="18" t="inlineStr">
        <is>
          <t>Abaixo deste valor = PREJUÍZO</t>
        </is>
      </c>
    </row>
    <row r="18">
      <c r="B18" s="6" t="inlineStr">
        <is>
          <t>SIMULADOR DE CENÁRIOS</t>
        </is>
      </c>
    </row>
    <row r="19">
      <c r="A19" s="5" t="inlineStr"/>
      <c r="B19" s="5" t="inlineStr">
        <is>
          <t>Cenário</t>
        </is>
      </c>
      <c r="C19" s="5" t="inlineStr">
        <is>
          <t>CI%</t>
        </is>
      </c>
      <c r="D19" s="5" t="inlineStr">
        <is>
          <t>Lucro%</t>
        </is>
      </c>
      <c r="E19" s="5" t="inlineStr">
        <is>
          <t>Valor Anual</t>
        </is>
      </c>
      <c r="F19" s="5" t="inlineStr">
        <is>
          <t>Desc/Teto</t>
        </is>
      </c>
      <c r="G19" s="5" t="inlineStr">
        <is>
          <t>Margem Bruta</t>
        </is>
      </c>
      <c r="H19" s="5" t="inlineStr">
        <is>
          <t>Margem/Mês</t>
        </is>
      </c>
      <c r="I19" s="5" t="inlineStr">
        <is>
          <t>Status</t>
        </is>
      </c>
    </row>
    <row r="20">
      <c r="A20" s="3" t="n">
        <v>1</v>
      </c>
      <c r="B20" s="3" t="inlineStr">
        <is>
          <t>Conservador (3%/3%)</t>
        </is>
      </c>
      <c r="C20" s="3" t="inlineStr">
        <is>
          <t>3.0%</t>
        </is>
      </c>
      <c r="D20" s="3" t="inlineStr">
        <is>
          <t>3.0%</t>
        </is>
      </c>
      <c r="E20" s="4" t="n">
        <v>3387586.700419771</v>
      </c>
      <c r="F20" s="8" t="n">
        <v>0.07964619228041965</v>
      </c>
      <c r="G20" s="4" t="n">
        <v>191750.1905897981</v>
      </c>
      <c r="H20" s="4" t="n">
        <v>15979.18254914985</v>
      </c>
      <c r="I20" s="3" t="inlineStr">
        <is>
          <t>CONFORTÁVEL</t>
        </is>
      </c>
    </row>
    <row r="21">
      <c r="A21" s="3" t="n">
        <v>2</v>
      </c>
      <c r="B21" s="3" t="inlineStr">
        <is>
          <t>Moderado (2.5%/2.5%)</t>
        </is>
      </c>
      <c r="C21" s="3" t="inlineStr">
        <is>
          <t>2.5%</t>
        </is>
      </c>
      <c r="D21" s="3" t="inlineStr">
        <is>
          <t>2.5%</t>
        </is>
      </c>
      <c r="E21" s="4" t="n">
        <v>3355628.33532147</v>
      </c>
      <c r="F21" s="8" t="n">
        <v>0.08832877537211398</v>
      </c>
      <c r="G21" s="4" t="n">
        <v>159791.8254914978</v>
      </c>
      <c r="H21" s="4" t="n">
        <v>13315.98545762481</v>
      </c>
      <c r="I21" s="3" t="inlineStr">
        <is>
          <t>CONFORTÁVEL</t>
        </is>
      </c>
    </row>
    <row r="22">
      <c r="A22" s="3" t="n">
        <v>3</v>
      </c>
      <c r="B22" s="3" t="inlineStr">
        <is>
          <t>Agressivo (2%/2%)</t>
        </is>
      </c>
      <c r="C22" s="3" t="inlineStr">
        <is>
          <t>2.0%</t>
        </is>
      </c>
      <c r="D22" s="3" t="inlineStr">
        <is>
          <t>2.0%</t>
        </is>
      </c>
      <c r="E22" s="4" t="n">
        <v>3323669.970223171</v>
      </c>
      <c r="F22" s="8" t="n">
        <v>0.09701135846380794</v>
      </c>
      <c r="G22" s="4" t="n">
        <v>127833.4603931988</v>
      </c>
      <c r="H22" s="4" t="n">
        <v>10652.7883660999</v>
      </c>
      <c r="I22" s="3" t="inlineStr">
        <is>
          <t>CONFORTÁVEL</t>
        </is>
      </c>
    </row>
    <row r="23">
      <c r="A23" s="3" t="n">
        <v>4</v>
      </c>
      <c r="B23" s="3" t="inlineStr">
        <is>
          <t>Muito agressivo (1.5%/1.5%)</t>
        </is>
      </c>
      <c r="C23" s="3" t="inlineStr">
        <is>
          <t>1.5%</t>
        </is>
      </c>
      <c r="D23" s="3" t="inlineStr">
        <is>
          <t>1.5%</t>
        </is>
      </c>
      <c r="E23" s="4" t="n">
        <v>3291711.605124871</v>
      </c>
      <c r="F23" s="8" t="n">
        <v>0.1056939415555023</v>
      </c>
      <c r="G23" s="4" t="n">
        <v>95875.09529489838</v>
      </c>
      <c r="H23" s="4" t="n">
        <v>7989.591274574865</v>
      </c>
      <c r="I23" s="3" t="inlineStr">
        <is>
          <t>VIÁVEL</t>
        </is>
      </c>
    </row>
    <row r="24">
      <c r="A24" s="3" t="n">
        <v>5</v>
      </c>
      <c r="B24" s="3" t="inlineStr">
        <is>
          <t>Mínimo (1%/1%)</t>
        </is>
      </c>
      <c r="C24" s="3" t="inlineStr">
        <is>
          <t>1.0%</t>
        </is>
      </c>
      <c r="D24" s="3" t="inlineStr">
        <is>
          <t>1.0%</t>
        </is>
      </c>
      <c r="E24" s="4" t="n">
        <v>3259753.240026571</v>
      </c>
      <c r="F24" s="8" t="n">
        <v>0.1143765246471964</v>
      </c>
      <c r="G24" s="4" t="n">
        <v>63916.73019659892</v>
      </c>
      <c r="H24" s="4" t="n">
        <v>5326.39418304991</v>
      </c>
      <c r="I24" s="3" t="inlineStr">
        <is>
          <t>VIÁVEL</t>
        </is>
      </c>
    </row>
    <row r="25">
      <c r="A25" s="3" t="n">
        <v>6</v>
      </c>
      <c r="B25" s="3" t="inlineStr">
        <is>
          <t>Ultra-mínimo (0.5%/0.5%)</t>
        </is>
      </c>
      <c r="C25" s="3" t="inlineStr">
        <is>
          <t>0.5%</t>
        </is>
      </c>
      <c r="D25" s="3" t="inlineStr">
        <is>
          <t>0.5%</t>
        </is>
      </c>
      <c r="E25" s="4" t="n">
        <v>3227794.874928271</v>
      </c>
      <c r="F25" s="8" t="n">
        <v>0.1230591077388906</v>
      </c>
      <c r="G25" s="4" t="n">
        <v>31958.36509829899</v>
      </c>
      <c r="H25" s="4" t="n">
        <v>2663.197091524916</v>
      </c>
      <c r="I25" s="3" t="inlineStr">
        <is>
          <t>AGRESSIVO</t>
        </is>
      </c>
    </row>
    <row r="26">
      <c r="A26" s="3" t="n">
        <v>7</v>
      </c>
      <c r="B26" s="3" t="inlineStr">
        <is>
          <t>BREAK-EVEN (0%/0%)</t>
        </is>
      </c>
      <c r="C26" s="3" t="inlineStr">
        <is>
          <t>0.0%</t>
        </is>
      </c>
      <c r="D26" s="3" t="inlineStr">
        <is>
          <t>0.0%</t>
        </is>
      </c>
      <c r="E26" s="4" t="n">
        <v>3195836.509829972</v>
      </c>
      <c r="F26" s="8" t="n">
        <v>0.1317416908305847</v>
      </c>
      <c r="G26" s="4" t="n">
        <v>-4.656612873077393e-10</v>
      </c>
      <c r="H26" s="4" t="n">
        <v>-3.880510727564494e-11</v>
      </c>
      <c r="I26" s="3" t="inlineStr">
        <is>
          <t>BREAK-EVEN</t>
        </is>
      </c>
    </row>
    <row r="28">
      <c r="B28" s="6" t="inlineStr">
        <is>
          <t>RESUMO ESTRATÉGICO</t>
        </is>
      </c>
    </row>
    <row r="29">
      <c r="B29" s="3" t="inlineStr">
        <is>
          <t>Lance inicial (3%/3%):</t>
        </is>
      </c>
      <c r="E29" s="14" t="n">
        <v>3387586.700419771</v>
      </c>
      <c r="F29" s="8" t="n">
        <v>0.07964619228041965</v>
      </c>
    </row>
    <row r="30">
      <c r="B30" s="3" t="inlineStr">
        <is>
          <t>Lance competitivo (2%/2%):</t>
        </is>
      </c>
      <c r="E30" s="14" t="n">
        <v>3323669.970223171</v>
      </c>
      <c r="F30" s="8" t="n">
        <v>0.09701135846380794</v>
      </c>
    </row>
    <row r="31">
      <c r="B31" s="3" t="inlineStr">
        <is>
          <t>PISO ABSOLUTO (break-even):</t>
        </is>
      </c>
      <c r="E31" s="17" t="n">
        <v>3195836.509829972</v>
      </c>
      <c r="F31" s="8" t="n">
        <v>0.1317416908305845</v>
      </c>
    </row>
    <row r="32">
      <c r="B32" s="3" t="inlineStr">
        <is>
          <t>Inexequibilidade (50% teto):</t>
        </is>
      </c>
      <c r="E32" s="4" t="n">
        <v>1840371.97</v>
      </c>
    </row>
    <row r="34">
      <c r="B34" s="2" t="inlineStr">
        <is>
          <t>DESCONTO MÁXIMO SUSTENTÁVEL:</t>
        </is>
      </c>
      <c r="E34" s="2" t="inlineStr">
        <is>
          <t>13.17%</t>
        </is>
      </c>
    </row>
    <row r="35">
      <c r="B35" s="2" t="inlineStr">
        <is>
          <t>VALOR MÍNIMO ABSOLUTO (anual):</t>
        </is>
      </c>
      <c r="E35" s="14" t="n">
        <v>3195836.509829972</v>
      </c>
    </row>
    <row r="36">
      <c r="B36" s="2" t="inlineStr">
        <is>
          <t>VALOR MÍNIMO ABSOLUTO (mensal):</t>
        </is>
      </c>
      <c r="E36" s="14" t="n">
        <v>266319.7091524977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2026-03-23T15:22:45Z</dcterms:created>
  <dcterms:modified xmlns:dcterms="http://purl.org/dc/terms/" xmlns:xsi="http://www.w3.org/2001/XMLSchema-instance" xsi:type="dcterms:W3CDTF">2026-03-23T15:22:45Z</dcterms:modified>
</cp:coreProperties>
</file>